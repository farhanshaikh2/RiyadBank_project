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drawings/drawing3.xml" ContentType="application/vnd.openxmlformats-officedocument.drawing+xml"/>
  <Override PartName="/xl/tables/table4.xml" ContentType="application/vnd.openxmlformats-officedocument.spreadsheetml.table+xml"/>
  <Override PartName="/xl/queryTables/queryTable4.xml" ContentType="application/vnd.openxmlformats-officedocument.spreadsheetml.queryTable+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tables/table20.xml" ContentType="application/vnd.openxmlformats-officedocument.spreadsheetml.table+xml"/>
  <Override PartName="/xl/queryTables/queryTable20.xml" ContentType="application/vnd.openxmlformats-officedocument.spreadsheetml.queryTable+xml"/>
  <Override PartName="/xl/tables/table21.xml" ContentType="application/vnd.openxmlformats-officedocument.spreadsheetml.table+xml"/>
  <Override PartName="/xl/queryTables/queryTable21.xml" ContentType="application/vnd.openxmlformats-officedocument.spreadsheetml.queryTable+xml"/>
  <Override PartName="/xl/tables/table22.xml" ContentType="application/vnd.openxmlformats-officedocument.spreadsheetml.table+xml"/>
  <Override PartName="/xl/queryTables/queryTable22.xml" ContentType="application/vnd.openxmlformats-officedocument.spreadsheetml.queryTable+xml"/>
  <Override PartName="/xl/tables/table23.xml" ContentType="application/vnd.openxmlformats-officedocument.spreadsheetml.table+xml"/>
  <Override PartName="/xl/queryTables/queryTable23.xml" ContentType="application/vnd.openxmlformats-officedocument.spreadsheetml.queryTable+xml"/>
  <Override PartName="/xl/tables/table24.xml" ContentType="application/vnd.openxmlformats-officedocument.spreadsheetml.table+xml"/>
  <Override PartName="/xl/queryTables/queryTable24.xml" ContentType="application/vnd.openxmlformats-officedocument.spreadsheetml.queryTable+xml"/>
  <Override PartName="/xl/tables/table25.xml" ContentType="application/vnd.openxmlformats-officedocument.spreadsheetml.table+xml"/>
  <Override PartName="/xl/queryTables/queryTable25.xml" ContentType="application/vnd.openxmlformats-officedocument.spreadsheetml.queryTable+xml"/>
  <Override PartName="/xl/drawings/drawing6.xml" ContentType="application/vnd.openxmlformats-officedocument.drawing+xml"/>
  <Override PartName="/xl/tables/table26.xml" ContentType="application/vnd.openxmlformats-officedocument.spreadsheetml.table+xml"/>
  <Override PartName="/xl/queryTables/queryTable26.xml" ContentType="application/vnd.openxmlformats-officedocument.spreadsheetml.queryTable+xml"/>
  <Override PartName="/xl/drawings/drawing7.xml" ContentType="application/vnd.openxmlformats-officedocument.drawing+xml"/>
  <Override PartName="/xl/tables/table27.xml" ContentType="application/vnd.openxmlformats-officedocument.spreadsheetml.table+xml"/>
  <Override PartName="/xl/queryTables/queryTable27.xml" ContentType="application/vnd.openxmlformats-officedocument.spreadsheetml.queryTable+xml"/>
  <Override PartName="/xl/drawings/drawing8.xml" ContentType="application/vnd.openxmlformats-officedocument.drawing+xml"/>
  <Override PartName="/xl/tables/table28.xml" ContentType="application/vnd.openxmlformats-officedocument.spreadsheetml.table+xml"/>
  <Override PartName="/xl/queryTables/queryTable28.xml" ContentType="application/vnd.openxmlformats-officedocument.spreadsheetml.queryTable+xml"/>
  <Override PartName="/xl/drawings/drawing9.xml" ContentType="application/vnd.openxmlformats-officedocument.drawing+xml"/>
  <Override PartName="/xl/tables/table29.xml" ContentType="application/vnd.openxmlformats-officedocument.spreadsheetml.table+xml"/>
  <Override PartName="/xl/queryTables/queryTable29.xml" ContentType="application/vnd.openxmlformats-officedocument.spreadsheetml.queryTable+xml"/>
  <Override PartName="/xl/tables/table30.xml" ContentType="application/vnd.openxmlformats-officedocument.spreadsheetml.table+xml"/>
  <Override PartName="/xl/queryTables/queryTable30.xml" ContentType="application/vnd.openxmlformats-officedocument.spreadsheetml.queryTable+xml"/>
  <Override PartName="/xl/tables/table31.xml" ContentType="application/vnd.openxmlformats-officedocument.spreadsheetml.table+xml"/>
  <Override PartName="/xl/queryTables/queryTable31.xml" ContentType="application/vnd.openxmlformats-officedocument.spreadsheetml.queryTable+xml"/>
  <Override PartName="/xl/tables/table32.xml" ContentType="application/vnd.openxmlformats-officedocument.spreadsheetml.table+xml"/>
  <Override PartName="/xl/queryTables/queryTable32.xml" ContentType="application/vnd.openxmlformats-officedocument.spreadsheetml.queryTable+xml"/>
  <Override PartName="/xl/drawings/drawing10.xml" ContentType="application/vnd.openxmlformats-officedocument.drawing+xml"/>
  <Override PartName="/xl/tables/table33.xml" ContentType="application/vnd.openxmlformats-officedocument.spreadsheetml.table+xml"/>
  <Override PartName="/xl/tables/table34.xml" ContentType="application/vnd.openxmlformats-officedocument.spreadsheetml.table+xml"/>
  <Override PartName="/xl/drawings/drawing1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defaultThemeVersion="202300"/>
  <mc:AlternateContent xmlns:mc="http://schemas.openxmlformats.org/markup-compatibility/2006">
    <mc:Choice Requires="x15">
      <x15ac:absPath xmlns:x15ac="http://schemas.microsoft.com/office/spreadsheetml/2010/11/ac" url="D:\Discrepancy_OS_Report\"/>
    </mc:Choice>
  </mc:AlternateContent>
  <xr:revisionPtr revIDLastSave="0" documentId="13_ncr:1_{FFB927F3-AF95-4EDE-B610-E560EAC6D0FF}" xr6:coauthVersionLast="47" xr6:coauthVersionMax="47" xr10:uidLastSave="{00000000-0000-0000-0000-000000000000}"/>
  <bookViews>
    <workbookView xWindow="-15" yWindow="0" windowWidth="19995" windowHeight="15585" tabRatio="776" firstSheet="15" activeTab="20" xr2:uid="{362CA14F-2C26-4F3F-BAE8-ACDB1EDB0169}"/>
  </bookViews>
  <sheets>
    <sheet name="Main" sheetId="18" state="hidden" r:id="rId1"/>
    <sheet name="RIY&lt;60DAYS" sheetId="1" state="hidden" r:id="rId2"/>
    <sheet name="Unique_List_Riyadh" sheetId="15" state="hidden" r:id="rId3"/>
    <sheet name="No_Email_Riyadh" sheetId="12" state="hidden" r:id="rId4"/>
    <sheet name="All_Data" sheetId="19" state="hidden" r:id="rId5"/>
    <sheet name="JED&lt;60DAYS" sheetId="2" state="hidden" r:id="rId6"/>
    <sheet name="Unique_List_Jeddah" sheetId="17" state="hidden" r:id="rId7"/>
    <sheet name="No_Email_Jeddah" sheetId="14" state="hidden" r:id="rId8"/>
    <sheet name="DAM&lt;60DAYS" sheetId="3" state="hidden" r:id="rId9"/>
    <sheet name="Unique_List_Dammam" sheetId="16" state="hidden" r:id="rId10"/>
    <sheet name="WorkingFile" sheetId="4" state="hidden" r:id="rId11"/>
    <sheet name="No_Email_Dammam" sheetId="13" state="hidden" r:id="rId12"/>
    <sheet name="ESCALATION_RIY" sheetId="5" state="hidden" r:id="rId13"/>
    <sheet name="ESCALATION_DAM" sheetId="6" state="hidden" r:id="rId14"/>
    <sheet name="ESCALATION_JED" sheetId="7" state="hidden" r:id="rId15"/>
    <sheet name="All_Super_Escalation" sheetId="20" r:id="rId16"/>
    <sheet name="SUPER_ESC_RIY" sheetId="8" r:id="rId17"/>
    <sheet name="SUPER_ESC_DAM" sheetId="9" r:id="rId18"/>
    <sheet name="SUPER_ESC_JED" sheetId="10" r:id="rId19"/>
    <sheet name="MIS File" sheetId="21" r:id="rId20"/>
    <sheet name="MIS Report" sheetId="22" r:id="rId21"/>
  </sheets>
  <functionGroups builtInGroupCount="19"/>
  <definedNames>
    <definedName name="email_60">WorkingFile!$W$24</definedName>
    <definedName name="escalation_enail">WorkingFile!$Y$24</definedName>
    <definedName name="ExternalData_1" localSheetId="8" hidden="1">'DAM&lt;60DAYS'!$B$5:$H$25</definedName>
    <definedName name="ExternalData_1" localSheetId="5" hidden="1">'JED&lt;60DAYS'!$B$5:$H$25</definedName>
    <definedName name="ExternalData_1" localSheetId="1" hidden="1">'RIY&lt;60DAYS'!$B$5:$H$81</definedName>
    <definedName name="ExternalData_1" localSheetId="16" hidden="1">SUPER_ESC_RIY!$B$4:$J$59</definedName>
    <definedName name="ExternalData_10" localSheetId="10" hidden="1">WorkingFile!$J$2:$J$3</definedName>
    <definedName name="ExternalData_11" localSheetId="10" hidden="1">WorkingFile!$K$2:$K$3</definedName>
    <definedName name="ExternalData_12" localSheetId="10" hidden="1">WorkingFile!$L$2:$L$3</definedName>
    <definedName name="ExternalData_13" localSheetId="10" hidden="1">WorkingFile!$M$2:$M$3</definedName>
    <definedName name="ExternalData_14" localSheetId="10" hidden="1">WorkingFile!$N$2:$N$3</definedName>
    <definedName name="ExternalData_15" localSheetId="10" hidden="1">WorkingFile!$O$2:$O$3</definedName>
    <definedName name="ExternalData_16" localSheetId="10" hidden="1">WorkingFile!$P$2:$P$3</definedName>
    <definedName name="ExternalData_17" localSheetId="19" hidden="1">'MIS File'!#REF!</definedName>
    <definedName name="ExternalData_2" localSheetId="4" hidden="1">All_Data!$A$4:$I$120</definedName>
    <definedName name="ExternalData_2" localSheetId="15" hidden="1">All_Super_Escalation!$B$4:$J$66</definedName>
    <definedName name="ExternalData_2" localSheetId="12" hidden="1">ESCALATION_RIY!$B$4:$I$37</definedName>
    <definedName name="ExternalData_2" localSheetId="11" hidden="1">No_Email_Dammam!$A$1:$C$13</definedName>
    <definedName name="ExternalData_2" localSheetId="7" hidden="1">No_Email_Jeddah!$A$1:$C$11</definedName>
    <definedName name="ExternalData_2" localSheetId="3" hidden="1">No_Email_Riyadh!$A$1:$C$6</definedName>
    <definedName name="ExternalData_2" localSheetId="17" hidden="1">SUPER_ESC_DAM!$B$4:$J$5</definedName>
    <definedName name="ExternalData_2" localSheetId="9" hidden="1">Unique_List_Dammam!$A$1:$C$2</definedName>
    <definedName name="ExternalData_2" localSheetId="6" hidden="1">Unique_List_Jeddah!$A$1:$C$3</definedName>
    <definedName name="ExternalData_2" localSheetId="2" hidden="1">Unique_List_Riyadh!$A$1:$C$34</definedName>
    <definedName name="ExternalData_2" localSheetId="10" hidden="1">WorkingFile!$B$2:$B$3</definedName>
    <definedName name="ExternalData_3" localSheetId="13" hidden="1">ESCALATION_DAM!$B$4:$I$5</definedName>
    <definedName name="ExternalData_3" localSheetId="18" hidden="1">SUPER_ESC_JED!$B$4:$J$10</definedName>
    <definedName name="ExternalData_3" localSheetId="10" hidden="1">WorkingFile!$C$2:$C$3</definedName>
    <definedName name="ExternalData_4" localSheetId="14" hidden="1">ESCALATION_JED!$B$4:$I$11</definedName>
    <definedName name="ExternalData_4" localSheetId="10" hidden="1">WorkingFile!$D$2:$D$3</definedName>
    <definedName name="ExternalData_5" localSheetId="10" hidden="1">WorkingFile!$E$2:$E$3</definedName>
    <definedName name="ExternalData_6" localSheetId="10" hidden="1">WorkingFile!$F$2:$F$3</definedName>
    <definedName name="ExternalData_7" localSheetId="10" hidden="1">WorkingFile!$G$2:$G$3</definedName>
    <definedName name="ExternalData_8" localSheetId="10" hidden="1">WorkingFile!$H$2:$H$3</definedName>
    <definedName name="ExternalData_9" localSheetId="10" hidden="1">WorkingFile!$I$2:$I$3</definedName>
    <definedName name="mydate">INDEX('MIS File'!$L$3:$L$8,MATCH('MIS File'!$J$2,'MIS File'!$L$3:$L$8,0)):INDEX('MIS File'!$L$3:$L$8,MATCH('MIS File'!$J$3,'MIS File'!$L$3:$L$8,0))</definedName>
    <definedName name="myvalue">INDEX('MIS File'!$M$3:$M$8,MATCH('MIS File'!$J$2,'MIS File'!$L$3:$L$8,0)):INDEX('MIS File'!$M$3:$M$8,MATCH('MIS File'!$J$3,'MIS File'!$L$3:$L$8,0))</definedName>
    <definedName name="no_escalation_email">WorkingFile!$Z$24</definedName>
    <definedName name="requesting_email">WorkingFile!$X$24</definedName>
    <definedName name="Super_Escalation_Jeddah">WorkingFile!#REF!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21" l="1"/>
  <c r="C5" i="21" a="1"/>
  <c r="C5" i="21" s="1"/>
  <c r="C10" i="21" a="1"/>
  <c r="C10" i="21" s="1"/>
  <c r="C8" i="21" a="1"/>
  <c r="C8" i="21" s="1"/>
  <c r="C6" i="21" a="1"/>
  <c r="C6" i="21" s="1"/>
  <c r="C9" i="21" a="1"/>
  <c r="C9" i="21" s="1"/>
  <c r="C7" i="21" a="1"/>
  <c r="C7" i="21" s="1"/>
  <c r="A3" i="4"/>
  <c r="H1" i="3"/>
  <c r="H1" i="2"/>
  <c r="H1" i="1"/>
  <c r="G5" i="2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0A6FEB0-602D-4470-B18A-90A1D08B5A1F}" keepAlive="1" name="Query - All_Data" description="Connection to the 'All_Data' query in the workbook." type="5" refreshedVersion="8" background="1" saveData="1">
    <dbPr connection="Provider=Microsoft.Mashup.OleDb.1;Data Source=$Workbook$;Location=All_Data;Extended Properties=&quot;&quot;" command="SELECT * FROM [All_Data]"/>
  </connection>
  <connection id="2" xr16:uid="{05D39C79-335E-442D-858B-25A223780709}" keepAlive="1" name="Query - All_Super_Escalation" description="Connection to the 'All_Super_Escalation' query in the workbook." type="5" refreshedVersion="8" background="1" saveData="1">
    <dbPr connection="Provider=Microsoft.Mashup.OleDb.1;Data Source=$Workbook$;Location=All_Super_Escalation;Extended Properties=&quot;&quot;" command="SELECT * FROM [All_Super_Escalation]"/>
  </connection>
  <connection id="3" xr16:uid="{061621E4-A9ED-4B7E-AD17-C4C9AE043A7B}" keepAlive="1" name="Query - Count_Dammam_Escalation" description="Connection to the 'Count_Dammam_Escalation' query in the workbook." type="5" refreshedVersion="8" background="1" saveData="1">
    <dbPr connection="Provider=Microsoft.Mashup.OleDb.1;Data Source=$Workbook$;Location=Count_Dammam_Escalation;Extended Properties=&quot;&quot;" command="SELECT * FROM [Count_Dammam_Escalation]"/>
  </connection>
  <connection id="4" xr16:uid="{A7486467-BCE1-4E7F-ABE5-6C11A387B014}" keepAlive="1" name="Query - Count_Dammam_Super_Escalation" description="Connection to the 'Count_Dammam_Super_Escalation' query in the workbook." type="5" refreshedVersion="8" background="1" saveData="1">
    <dbPr connection="Provider=Microsoft.Mashup.OleDb.1;Data Source=$Workbook$;Location=Count_Dammam_Super_Escalation;Extended Properties=&quot;&quot;" command="SELECT * FROM [Count_Dammam_Super_Escalation]"/>
  </connection>
  <connection id="5" xr16:uid="{5A53D4A9-2ABD-4360-8828-F3984235FA80}" keepAlive="1" name="Query - Count_DammamLessThan60" description="Connection to the 'Count_DammamLessThan60' query in the workbook." type="5" refreshedVersion="8" background="1" saveData="1">
    <dbPr connection="Provider=Microsoft.Mashup.OleDb.1;Data Source=$Workbook$;Location=Count_DammamLessThan60;Extended Properties=&quot;&quot;" command="SELECT * FROM [Count_DammamLessThan60]"/>
  </connection>
  <connection id="6" xr16:uid="{797367CB-2047-425E-BA40-43886DCE24EC}" keepAlive="1" name="Query - Count_Jeddah_Escalation" description="Connection to the 'Count_Jeddah_Escalation' query in the workbook." type="5" refreshedVersion="8" background="1" saveData="1">
    <dbPr connection="Provider=Microsoft.Mashup.OleDb.1;Data Source=$Workbook$;Location=Count_Jeddah_Escalation;Extended Properties=&quot;&quot;" command="SELECT * FROM [Count_Jeddah_Escalation]"/>
  </connection>
  <connection id="7" xr16:uid="{777D6E78-020C-4757-BF11-3C161F6B6617}" keepAlive="1" name="Query - Count_Jeddah_Super_Escalation" description="Connection to the 'Count_Jeddah_Super_Escalation' query in the workbook." type="5" refreshedVersion="8" background="1" saveData="1">
    <dbPr connection="Provider=Microsoft.Mashup.OleDb.1;Data Source=$Workbook$;Location=Count_Jeddah_Super_Escalation;Extended Properties=&quot;&quot;" command="SELECT * FROM [Count_Jeddah_Super_Escalation]"/>
  </connection>
  <connection id="8" xr16:uid="{24E9A440-109C-4813-8DF9-C2B2B0BF61AA}" keepAlive="1" name="Query - Count_JeddahLessThan60" description="Connection to the 'Count_JeddahLessThan60' query in the workbook." type="5" refreshedVersion="8" background="1" saveData="1">
    <dbPr connection="Provider=Microsoft.Mashup.OleDb.1;Data Source=$Workbook$;Location=Count_JeddahLessThan60;Extended Properties=&quot;&quot;" command="SELECT * FROM [Count_JeddahLessThan60]"/>
  </connection>
  <connection id="9" xr16:uid="{8F3B37CE-CEA8-4E68-AE65-8FD5B4E19A0D}" keepAlive="1" name="Query - Count_No_Email_Dammam" description="Connection to the 'Count_No_Email_Dammam' query in the workbook." type="5" refreshedVersion="8" background="1" saveData="1">
    <dbPr connection="Provider=Microsoft.Mashup.OleDb.1;Data Source=$Workbook$;Location=Count_No_Email_Dammam;Extended Properties=&quot;&quot;" command="SELECT * FROM [Count_No_Email_Dammam]"/>
  </connection>
  <connection id="10" xr16:uid="{E6D1219F-0E05-495A-858C-48EC2A9E6749}" keepAlive="1" name="Query - Count_No_Email_Jeddah" description="Connection to the 'Count_No_Email_Jeddah' query in the workbook." type="5" refreshedVersion="8" background="1" saveData="1">
    <dbPr connection="Provider=Microsoft.Mashup.OleDb.1;Data Source=$Workbook$;Location=Count_No_Email_Jeddah;Extended Properties=&quot;&quot;" command="SELECT * FROM [Count_No_Email_Jeddah]"/>
  </connection>
  <connection id="11" xr16:uid="{EA18D12E-B980-4693-A3C9-87DEAC0E07BC}" keepAlive="1" name="Query - Count_No_Email_Riyadh" description="Connection to the 'Count_No_Email_Riyadh' query in the workbook." type="5" refreshedVersion="8" background="1" saveData="1">
    <dbPr connection="Provider=Microsoft.Mashup.OleDb.1;Data Source=$Workbook$;Location=Count_No_Email_Riyadh;Extended Properties=&quot;&quot;" command="SELECT * FROM [Count_No_Email_Riyadh]"/>
  </connection>
  <connection id="12" xr16:uid="{D45E1C30-0C18-4A2C-943B-77F09907593C}" keepAlive="1" name="Query - Count_Riyadh_Escalation" description="Connection to the 'Count_Riyadh_Escalation' query in the workbook." type="5" refreshedVersion="8" background="1" saveData="1">
    <dbPr connection="Provider=Microsoft.Mashup.OleDb.1;Data Source=$Workbook$;Location=Count_Riyadh_Escalation;Extended Properties=&quot;&quot;" command="SELECT * FROM [Count_Riyadh_Escalation]"/>
  </connection>
  <connection id="13" xr16:uid="{C5845952-D2D5-4198-972F-3F2772666A77}" keepAlive="1" name="Query - Count_Riyadh_Super_Escalation" description="Connection to the 'Count_Riyadh_Super_Escalation' query in the workbook." type="5" refreshedVersion="8" background="1" saveData="1">
    <dbPr connection="Provider=Microsoft.Mashup.OleDb.1;Data Source=$Workbook$;Location=Count_Riyadh_Super_Escalation;Extended Properties=&quot;&quot;" command="SELECT * FROM [Count_Riyadh_Super_Escalation]"/>
  </connection>
  <connection id="14" xr16:uid="{35DCAAE8-F8AC-475C-AACA-3014F48DB6A9}" keepAlive="1" name="Query - Count_RiyadhLessThan60" description="Connection to the 'Count_RiyadhLessThan60' query in the workbook." type="5" refreshedVersion="8" background="1" saveData="1">
    <dbPr connection="Provider=Microsoft.Mashup.OleDb.1;Data Source=$Workbook$;Location=Count_RiyadhLessThan60;Extended Properties=&quot;&quot;" command="SELECT * FROM [Count_RiyadhLessThan60]"/>
  </connection>
  <connection id="15" xr16:uid="{6BEFEE6F-4A40-4B9D-8CF0-ADF91F57C1C0}" keepAlive="1" name="Query - Dam_Registered Reports" description="Connection to the 'Dam_Registered Reports' query in the workbook." type="5" refreshedVersion="0" background="1">
    <dbPr connection="Provider=Microsoft.Mashup.OleDb.1;Data Source=$Workbook$;Location=&quot;Dam_Registered Reports&quot;;Extended Properties=&quot;&quot;" command="SELECT * FROM [Dam_Registered Reports]"/>
  </connection>
  <connection id="16" xr16:uid="{9BC0A3A3-4A80-45F4-A37E-BCAD9B30F4E3}" keepAlive="1" name="Query - Dammam_Complete_Data" description="Connection to the 'Dammam_Complete_Data' query in the workbook." type="5" refreshedVersion="0" background="1">
    <dbPr connection="Provider=Microsoft.Mashup.OleDb.1;Data Source=$Workbook$;Location=Dammam_Complete_Data;Extended Properties=&quot;&quot;" command="SELECT * FROM [Dammam_Complete_Data]"/>
  </connection>
  <connection id="17" xr16:uid="{C8B1CBC0-9F80-4CAD-9FBD-32C46D9E9FF4}" keepAlive="1" name="Query - Dammam_Escalation" description="Connection to the 'Dammam_Escalation' query in the workbook." type="5" refreshedVersion="8" background="1" saveData="1">
    <dbPr connection="Provider=Microsoft.Mashup.OleDb.1;Data Source=$Workbook$;Location=Dammam_Escalation;Extended Properties=&quot;&quot;" command="SELECT * FROM [Dammam_Escalation]"/>
  </connection>
  <connection id="18" xr16:uid="{1CFEF1A0-11E8-40FF-A030-177E7DCF63FB}" keepAlive="1" name="Query - Dammam_Super_Escalation" description="Connection to the 'Dammam_Super_Escalation' query in the workbook." type="5" refreshedVersion="8" background="1" saveData="1">
    <dbPr connection="Provider=Microsoft.Mashup.OleDb.1;Data Source=$Workbook$;Location=Dammam_Super_Escalation;Extended Properties=&quot;&quot;" command="SELECT * FROM [Dammam_Super_Escalation]"/>
  </connection>
  <connection id="19" xr16:uid="{9FAFD45B-CC75-4037-B384-9BCAD41C16E9}" keepAlive="1" name="Query - DammamLessThan60" description="Connection to the 'DammamLessThan60' query in the workbook." type="5" refreshedVersion="8" background="1" saveData="1">
    <dbPr connection="Provider=Microsoft.Mashup.OleDb.1;Data Source=$Workbook$;Location=DammamLessThan60;Extended Properties=&quot;&quot;" command="SELECT * FROM [DammamLessThan60]"/>
  </connection>
  <connection id="20" xr16:uid="{144E43B4-F796-4165-BC95-333E4C2822F0}" keepAlive="1" name="Query - Date_1_Dammam" description="Connection to the 'Date_1_Dammam' query in the workbook." type="5" refreshedVersion="8" background="1" saveData="1">
    <dbPr connection="Provider=Microsoft.Mashup.OleDb.1;Data Source=$Workbook$;Location=Date_1_Dammam;Extended Properties=&quot;&quot;" command="SELECT * FROM [Date_1_Dammam]"/>
  </connection>
  <connection id="21" xr16:uid="{80EE542C-EAB9-45F3-81E9-074A260B277A}" keepAlive="1" name="Query - Day_1_Jeddah" description="Connection to the 'Day_1_Jeddah' query in the workbook." type="5" refreshedVersion="8" background="1" saveData="1">
    <dbPr connection="Provider=Microsoft.Mashup.OleDb.1;Data Source=$Workbook$;Location=Day_1_Jeddah;Extended Properties=&quot;&quot;" command="SELECT * FROM [Day_1_Jeddah]"/>
  </connection>
  <connection id="22" xr16:uid="{5B3E81F9-0B8F-4DDE-85A8-59BEB45CC2CC}" keepAlive="1" name="Query - Day_1_Riyadh" description="Connection to the 'Day_1_Riyadh' query in the workbook." type="5" refreshedVersion="8" background="1" saveData="1">
    <dbPr connection="Provider=Microsoft.Mashup.OleDb.1;Data Source=$Workbook$;Location=Day_1_Riyadh;Extended Properties=&quot;&quot;" command="SELECT * FROM [Day_1_Riyadh]"/>
  </connection>
  <connection id="23" xr16:uid="{D68B2223-7B66-4386-A56B-8C6C726643F7}" keepAlive="1" name="Query - EmailID_File" description="Connection to the 'EmailID_File' query in the workbook." type="5" refreshedVersion="0" background="1">
    <dbPr connection="Provider=Microsoft.Mashup.OleDb.1;Data Source=$Workbook$;Location=EmailID_File;Extended Properties=&quot;&quot;" command="SELECT * FROM [EmailID_File]"/>
  </connection>
  <connection id="24" xr16:uid="{208B4DA0-7FAB-44C4-8B45-6B356FB12BB8}" keepAlive="1" name="Query - Holiday_Function" description="Connection to the 'Holiday_Function' query in the workbook." type="5" refreshedVersion="0" background="1">
    <dbPr connection="Provider=Microsoft.Mashup.OleDb.1;Data Source=$Workbook$;Location=Holiday_Function;Extended Properties=&quot;&quot;" command="SELECT * FROM [Holiday_Function]"/>
  </connection>
  <connection id="25" xr16:uid="{4395EA72-4713-4C18-B31D-99EAF151756C}" keepAlive="1" name="Query - Jed_Registered Reports" description="Connection to the 'Jed_Registered Reports' query in the workbook." type="5" refreshedVersion="0" background="1">
    <dbPr connection="Provider=Microsoft.Mashup.OleDb.1;Data Source=$Workbook$;Location=&quot;Jed_Registered Reports&quot;;Extended Properties=&quot;&quot;" command="SELECT * FROM [Jed_Registered Reports]"/>
  </connection>
  <connection id="26" xr16:uid="{9B094FC9-8466-43B9-8316-35EC711D2AEA}" keepAlive="1" name="Query - Jeddah_Complete_Data" description="Connection to the 'Jeddah_Complete_Data' query in the workbook." type="5" refreshedVersion="0" background="1">
    <dbPr connection="Provider=Microsoft.Mashup.OleDb.1;Data Source=$Workbook$;Location=Jeddah_Complete_Data;Extended Properties=&quot;&quot;" command="SELECT * FROM [Jeddah_Complete_Data]"/>
  </connection>
  <connection id="27" xr16:uid="{15404048-BD74-4A26-9612-F9A1D372CAE4}" keepAlive="1" name="Query - Jeddah_Escalation" description="Connection to the 'Jeddah_Escalation' query in the workbook." type="5" refreshedVersion="8" background="1" saveData="1">
    <dbPr connection="Provider=Microsoft.Mashup.OleDb.1;Data Source=$Workbook$;Location=Jeddah_Escalation;Extended Properties=&quot;&quot;" command="SELECT * FROM [Jeddah_Escalation]"/>
  </connection>
  <connection id="28" xr16:uid="{47AB93B5-74B8-41F9-8654-0E0F95E5761D}" keepAlive="1" name="Query - Jeddah_Super_Escalation" description="Connection to the 'Jeddah_Super_Escalation' query in the workbook." type="5" refreshedVersion="8" background="1" saveData="1">
    <dbPr connection="Provider=Microsoft.Mashup.OleDb.1;Data Source=$Workbook$;Location=Jeddah_Super_Escalation;Extended Properties=&quot;&quot;" command="SELECT * FROM [Jeddah_Super_Escalation]"/>
  </connection>
  <connection id="29" xr16:uid="{F32574D7-D1B7-4EAB-9028-2923147840AA}" keepAlive="1" name="Query - JeddahLessThan60" description="Connection to the 'JeddahLessThan60' query in the workbook." type="5" refreshedVersion="8" background="1" saveData="1">
    <dbPr connection="Provider=Microsoft.Mashup.OleDb.1;Data Source=$Workbook$;Location=JeddahLessThan60;Extended Properties=&quot;&quot;" command="SELECT * FROM [JeddahLessThan60]"/>
  </connection>
  <connection id="30" xr16:uid="{69D2AB65-FAE9-484E-AD07-03DE04065D13}" keepAlive="1" name="Query - No_Email_Dammam" description="Connection to the 'No_Email_Dammam' query in the workbook." type="5" refreshedVersion="8" background="1" saveData="1">
    <dbPr connection="Provider=Microsoft.Mashup.OleDb.1;Data Source=$Workbook$;Location=No_Email_Dammam;Extended Properties=&quot;&quot;" command="SELECT * FROM [No_Email_Dammam]"/>
  </connection>
  <connection id="31" xr16:uid="{7942C614-AF70-4F72-97A1-C672457F0B5D}" keepAlive="1" name="Query - No_Email_Jeddah" description="Connection to the 'No_Email_Jeddah' query in the workbook." type="5" refreshedVersion="8" background="1" saveData="1">
    <dbPr connection="Provider=Microsoft.Mashup.OleDb.1;Data Source=$Workbook$;Location=No_Email_Jeddah;Extended Properties=&quot;&quot;" command="SELECT * FROM [No_Email_Jeddah]"/>
  </connection>
  <connection id="32" xr16:uid="{D00E9510-BB4E-474C-9180-2F698DCE9CF8}" keepAlive="1" name="Query - No_Email_Riyadh" description="Connection to the 'No_Email_Riyadh' query in the workbook." type="5" refreshedVersion="8" background="1" saveData="1">
    <dbPr connection="Provider=Microsoft.Mashup.OleDb.1;Data Source=$Workbook$;Location=No_Email_Riyadh;Extended Properties=&quot;&quot;" command="SELECT * FROM [No_Email_Riyadh]"/>
  </connection>
  <connection id="33" xr16:uid="{1C683D59-4A63-410E-8445-E39AF694B4A4}" keepAlive="1" name="Query - Parameter1" description="Connection to the 'Parameter1' query in the workbook." type="5" refreshedVersion="0" background="1">
    <dbPr connection="Provider=Microsoft.Mashup.OleDb.1;Data Source=$Workbook$;Location=Parameter1;Extended Properties=&quot;&quot;" command="SELECT * FROM [Parameter1]"/>
  </connection>
  <connection id="34" xr16:uid="{E3184A02-A9DE-4586-B6E2-57BF9C574076}" keepAlive="1" name="Query - Parameter2" description="Connection to the 'Parameter2' query in the workbook." type="5" refreshedVersion="0" background="1">
    <dbPr connection="Provider=Microsoft.Mashup.OleDb.1;Data Source=$Workbook$;Location=Parameter2;Extended Properties=&quot;&quot;" command="SELECT * FROM [Parameter2]"/>
  </connection>
  <connection id="35" xr16:uid="{BD3BAAAB-6B3B-4AC0-B3E6-E76050FA774E}" keepAlive="1" name="Query - Parameter3" description="Connection to the 'Parameter3' query in the workbook." type="5" refreshedVersion="0" background="1">
    <dbPr connection="Provider=Microsoft.Mashup.OleDb.1;Data Source=$Workbook$;Location=Parameter3;Extended Properties=&quot;&quot;" command="SELECT * FROM [Parameter3]"/>
  </connection>
  <connection id="36" xr16:uid="{1D7B2592-11B6-404B-A9DB-585F3E1E2A49}" keepAlive="1" name="Query - Parameter4" description="Connection to the 'Parameter4' query in the workbook." type="5" refreshedVersion="0" background="1">
    <dbPr connection="Provider=Microsoft.Mashup.OleDb.1;Data Source=$Workbook$;Location=Parameter4;Extended Properties=&quot;&quot;" command="SELECT * FROM [Parameter4]"/>
  </connection>
  <connection id="37" xr16:uid="{86F3E18D-F8A4-4B20-B127-FD9B34DAD9F7}" keepAlive="1" name="Query - Parameter5" description="Connection to the 'Parameter5' query in the workbook." type="5" refreshedVersion="0" background="1">
    <dbPr connection="Provider=Microsoft.Mashup.OleDb.1;Data Source=$Workbook$;Location=Parameter5;Extended Properties=&quot;&quot;" command="SELECT * FROM [Parameter5]"/>
  </connection>
  <connection id="38" xr16:uid="{640EDE82-A9C6-41B1-A5D8-06EFF2E15518}" keepAlive="1" name="Query - Parameter6" description="Connection to the 'Parameter6' query in the workbook." type="5" refreshedVersion="0" background="1">
    <dbPr connection="Provider=Microsoft.Mashup.OleDb.1;Data Source=$Workbook$;Location=Parameter6;Extended Properties=&quot;&quot;" command="SELECT * FROM [Parameter6]"/>
  </connection>
  <connection id="39" xr16:uid="{ACCC3651-7D4F-463D-8744-F88E14416E9C}" keepAlive="1" name="Query - Riy_Registered Reports" description="Connection to the 'Riy_Registered Reports' query in the workbook." type="5" refreshedVersion="0" background="1">
    <dbPr connection="Provider=Microsoft.Mashup.OleDb.1;Data Source=$Workbook$;Location=&quot;Riy_Registered Reports&quot;;Extended Properties=&quot;&quot;" command="SELECT * FROM [Riy_Registered Reports]"/>
  </connection>
  <connection id="40" xr16:uid="{35097DC9-B06A-4E0D-8A68-8C197B194625}" keepAlive="1" name="Query - Riyadh_Complete_Data" description="Connection to the 'Riyadh_Complete_Data' query in the workbook." type="5" refreshedVersion="0" background="1">
    <dbPr connection="Provider=Microsoft.Mashup.OleDb.1;Data Source=$Workbook$;Location=Riyadh_Complete_Data;Extended Properties=&quot;&quot;" command="SELECT * FROM [Riyadh_Complete_Data]"/>
  </connection>
  <connection id="41" xr16:uid="{F491D2EC-5111-4523-B03F-C0B9B82DDE13}" keepAlive="1" name="Query - Riyadh_Escalation" description="Connection to the 'Riyadh_Escalation' query in the workbook." type="5" refreshedVersion="8" background="1" saveData="1">
    <dbPr connection="Provider=Microsoft.Mashup.OleDb.1;Data Source=$Workbook$;Location=Riyadh_Escalation;Extended Properties=&quot;&quot;" command="SELECT * FROM [Riyadh_Escalation]"/>
  </connection>
  <connection id="42" xr16:uid="{8C3664AB-5596-4BB3-935F-952FD215BA3E}" keepAlive="1" name="Query - Riyadh_Super_Escalation" description="Connection to the 'Riyadh_Super_Escalation' query in the workbook." type="5" refreshedVersion="8" background="1" saveData="1">
    <dbPr connection="Provider=Microsoft.Mashup.OleDb.1;Data Source=$Workbook$;Location=Riyadh_Super_Escalation;Extended Properties=&quot;&quot;" command="SELECT * FROM [Riyadh_Super_Escalation]"/>
  </connection>
  <connection id="43" xr16:uid="{4387D604-C7E7-4129-B668-8AFA29D5685F}" keepAlive="1" name="Query - RiyadhLessThan60" description="Connection to the 'RiyadhLessThan60' query in the workbook." type="5" refreshedVersion="8" background="1" saveData="1">
    <dbPr connection="Provider=Microsoft.Mashup.OleDb.1;Data Source=$Workbook$;Location=RiyadhLessThan60;Extended Properties=&quot;&quot;" command="SELECT * FROM [RiyadhLessThan60]"/>
  </connection>
  <connection id="44" xr16:uid="{F03A82F2-3769-45AB-86A5-99EFCCD4A706}"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45" xr16:uid="{A78CC318-AC3F-471B-ABD3-DE6193E8D622}" keepAlive="1" name="Query - Sample File (2)" description="Connection to the 'Sample File (2)' query in the workbook." type="5" refreshedVersion="0" background="1">
    <dbPr connection="Provider=Microsoft.Mashup.OleDb.1;Data Source=$Workbook$;Location=&quot;Sample File (2)&quot;;Extended Properties=&quot;&quot;" command="SELECT * FROM [Sample File (2)]"/>
  </connection>
  <connection id="46" xr16:uid="{BA954F08-E954-48E2-934A-B1EA18411E9D}" keepAlive="1" name="Query - Sample File (3)" description="Connection to the 'Sample File (3)' query in the workbook." type="5" refreshedVersion="0" background="1">
    <dbPr connection="Provider=Microsoft.Mashup.OleDb.1;Data Source=$Workbook$;Location=&quot;Sample File (3)&quot;;Extended Properties=&quot;&quot;" command="SELECT * FROM [Sample File (3)]"/>
  </connection>
  <connection id="47" xr16:uid="{E185B3AE-5B3B-4AE8-B7BE-F58264DCA95E}" keepAlive="1" name="Query - Sample File (4)" description="Connection to the 'Sample File (4)' query in the workbook." type="5" refreshedVersion="0" background="1">
    <dbPr connection="Provider=Microsoft.Mashup.OleDb.1;Data Source=$Workbook$;Location=&quot;Sample File (4)&quot;;Extended Properties=&quot;&quot;" command="SELECT * FROM [Sample File (4)]"/>
  </connection>
  <connection id="48" xr16:uid="{5745AEFB-ABC2-485B-B6E5-D5B9F2C2F8CB}" keepAlive="1" name="Query - Sample File (5)" description="Connection to the 'Sample File (5)' query in the workbook." type="5" refreshedVersion="0" background="1">
    <dbPr connection="Provider=Microsoft.Mashup.OleDb.1;Data Source=$Workbook$;Location=&quot;Sample File (5)&quot;;Extended Properties=&quot;&quot;" command="SELECT * FROM [Sample File (5)]"/>
  </connection>
  <connection id="49" xr16:uid="{0C03D218-3D7B-44B7-A86E-A791EA36A247}" keepAlive="1" name="Query - Sample File (6)" description="Connection to the 'Sample File (6)' query in the workbook." type="5" refreshedVersion="0" background="1">
    <dbPr connection="Provider=Microsoft.Mashup.OleDb.1;Data Source=$Workbook$;Location=&quot;Sample File (6)&quot;;Extended Properties=&quot;&quot;" command="SELECT * FROM [Sample File (6)]"/>
  </connection>
  <connection id="50" xr16:uid="{93C76CD6-4037-45B2-843F-4FED2AE0B67D}"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51" xr16:uid="{DA93A187-B356-48DE-97A3-1B63B8BDB375}" keepAlive="1" name="Query - Transform File (2)" description="Connection to the 'Transform File (2)' query in the workbook." type="5" refreshedVersion="0" background="1">
    <dbPr connection="Provider=Microsoft.Mashup.OleDb.1;Data Source=$Workbook$;Location=&quot;Transform File (2)&quot;;Extended Properties=&quot;&quot;" command="SELECT * FROM [Transform File (2)]"/>
  </connection>
  <connection id="52" xr16:uid="{B540C29C-000E-4F94-9111-308B13E301AD}" keepAlive="1" name="Query - Transform File (3)" description="Connection to the 'Transform File (3)' query in the workbook." type="5" refreshedVersion="0" background="1">
    <dbPr connection="Provider=Microsoft.Mashup.OleDb.1;Data Source=$Workbook$;Location=&quot;Transform File (3)&quot;;Extended Properties=&quot;&quot;" command="SELECT * FROM [Transform File (3)]"/>
  </connection>
  <connection id="53" xr16:uid="{EDF4F458-47D2-43DF-A47A-72FBEE6E15B5}" keepAlive="1" name="Query - Transform File (4)" description="Connection to the 'Transform File (4)' query in the workbook." type="5" refreshedVersion="0" background="1">
    <dbPr connection="Provider=Microsoft.Mashup.OleDb.1;Data Source=$Workbook$;Location=&quot;Transform File (4)&quot;;Extended Properties=&quot;&quot;" command="SELECT * FROM [Transform File (4)]"/>
  </connection>
  <connection id="54" xr16:uid="{D8601A76-65F3-47C2-95CA-3ED11A586766}" keepAlive="1" name="Query - Transform File (5)" description="Connection to the 'Transform File (5)' query in the workbook." type="5" refreshedVersion="0" background="1">
    <dbPr connection="Provider=Microsoft.Mashup.OleDb.1;Data Source=$Workbook$;Location=&quot;Transform File (5)&quot;;Extended Properties=&quot;&quot;" command="SELECT * FROM [Transform File (5)]"/>
  </connection>
  <connection id="55" xr16:uid="{12383393-225C-49BE-A334-090CA0EBDE03}" keepAlive="1" name="Query - Transform File (6)" description="Connection to the 'Transform File (6)' query in the workbook." type="5" refreshedVersion="0" background="1">
    <dbPr connection="Provider=Microsoft.Mashup.OleDb.1;Data Source=$Workbook$;Location=&quot;Transform File (6)&quot;;Extended Properties=&quot;&quot;" command="SELECT * FROM [Transform File (6)]"/>
  </connection>
  <connection id="56" xr16:uid="{645FBC6A-B7BB-433E-B64C-1AF16B6CDCBC}" keepAlive="1" name="Query - Transform Sample File" description="Connection to the 'Transform Sample File' query in the workbook." type="5" refreshedVersion="0" background="1">
    <dbPr connection="Provider=Microsoft.Mashup.OleDb.1;Data Source=$Workbook$;Location=&quot;Transform Sample File&quot;;Extended Properties=&quot;&quot;" command="SELECT * FROM [Transform Sample File]"/>
  </connection>
  <connection id="57" xr16:uid="{3E1691E0-5915-4ABE-A776-B628B0C5F0A3}" keepAlive="1" name="Query - Transform Sample File (2)" description="Connection to the 'Transform Sample File (2)' query in the workbook." type="5" refreshedVersion="0" background="1">
    <dbPr connection="Provider=Microsoft.Mashup.OleDb.1;Data Source=$Workbook$;Location=&quot;Transform Sample File (2)&quot;;Extended Properties=&quot;&quot;" command="SELECT * FROM [Transform Sample File (2)]"/>
  </connection>
  <connection id="58" xr16:uid="{87DAB0F7-7B6C-4A81-858E-2900B135AE55}" keepAlive="1" name="Query - Transform Sample File (3)" description="Connection to the 'Transform Sample File (3)' query in the workbook." type="5" refreshedVersion="0" background="1">
    <dbPr connection="Provider=Microsoft.Mashup.OleDb.1;Data Source=$Workbook$;Location=&quot;Transform Sample File (3)&quot;;Extended Properties=&quot;&quot;" command="SELECT * FROM [Transform Sample File (3)]"/>
  </connection>
  <connection id="59" xr16:uid="{3CCFB957-3145-4018-801E-2E5D5BCFFCBD}" keepAlive="1" name="Query - Transform Sample File (4)" description="Connection to the 'Transform Sample File (4)' query in the workbook." type="5" refreshedVersion="0" background="1">
    <dbPr connection="Provider=Microsoft.Mashup.OleDb.1;Data Source=$Workbook$;Location=&quot;Transform Sample File (4)&quot;;Extended Properties=&quot;&quot;" command="SELECT * FROM [Transform Sample File (4)]"/>
  </connection>
  <connection id="60" xr16:uid="{F153F657-E1AF-4352-8BA0-C902218CA88C}" keepAlive="1" name="Query - Transform Sample File (5)" description="Connection to the 'Transform Sample File (5)' query in the workbook." type="5" refreshedVersion="0" background="1">
    <dbPr connection="Provider=Microsoft.Mashup.OleDb.1;Data Source=$Workbook$;Location=&quot;Transform Sample File (5)&quot;;Extended Properties=&quot;&quot;" command="SELECT * FROM [Transform Sample File (5)]"/>
  </connection>
  <connection id="61" xr16:uid="{7CE7C4CD-02A0-4521-8679-7C275F657B96}" keepAlive="1" name="Query - Transform Sample File (6)" description="Connection to the 'Transform Sample File (6)' query in the workbook." type="5" refreshedVersion="0" background="1">
    <dbPr connection="Provider=Microsoft.Mashup.OleDb.1;Data Source=$Workbook$;Location=&quot;Transform Sample File (6)&quot;;Extended Properties=&quot;&quot;" command="SELECT * FROM [Transform Sample File (6)]"/>
  </connection>
  <connection id="62" xr16:uid="{9FCA3362-048F-4E32-90A9-9EC18802A11E}" keepAlive="1" name="Query - Unique_List_Dammam" description="Connection to the 'Unique_List_Dammam' query in the workbook." type="5" refreshedVersion="8" background="1" saveData="1">
    <dbPr connection="Provider=Microsoft.Mashup.OleDb.1;Data Source=$Workbook$;Location=Unique_List_Dammam;Extended Properties=&quot;&quot;" command="SELECT * FROM [Unique_List_Dammam]"/>
  </connection>
  <connection id="63" xr16:uid="{3A12E818-8ED8-4B40-9FE5-33DFE3E72BFC}" keepAlive="1" name="Query - Unique_List_Jeddah" description="Connection to the 'Unique_List_Jeddah' query in the workbook." type="5" refreshedVersion="8" background="1" saveData="1">
    <dbPr connection="Provider=Microsoft.Mashup.OleDb.1;Data Source=$Workbook$;Location=Unique_List_Jeddah;Extended Properties=&quot;&quot;" command="SELECT * FROM [Unique_List_Jeddah]"/>
  </connection>
  <connection id="64" xr16:uid="{281C4A06-DBEE-49B5-8F78-37869A876BF9}" keepAlive="1" name="Query - Unique_List_Riyadh" description="Connection to the 'Unique_List_Riyadh' query in the workbook." type="5" refreshedVersion="8" background="1" saveData="1">
    <dbPr connection="Provider=Microsoft.Mashup.OleDb.1;Data Source=$Workbook$;Location=Unique_List_Riyadh;Extended Properties=&quot;&quot;" command="SELECT * FROM [Unique_List_Riyadh]"/>
  </connection>
  <connection id="65" xr16:uid="{E7D5607B-F7FE-4CF2-9C8F-B34695243842}" keepAlive="1" name="Query - USERID_Name" description="Connection to the 'USERID_Name' query in the workbook." type="5" refreshedVersion="0" background="1">
    <dbPr connection="Provider=Microsoft.Mashup.OleDb.1;Data Source=$Workbook$;Location=USERID_Name;Extended Properties=&quot;&quot;" command="SELECT * FROM [USERID_Name]"/>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<sst xmlns="http://schemas.openxmlformats.org/spreadsheetml/2006/main" count="1772" uniqueCount="582">
  <si>
    <t>DRAWING REF</t>
  </si>
  <si>
    <t>APPL_ID</t>
  </si>
  <si>
    <t>APPLICANT</t>
  </si>
  <si>
    <t>CCY</t>
  </si>
  <si>
    <t>DOC_AMOUNT</t>
  </si>
  <si>
    <t>TRANSACTION DATE</t>
  </si>
  <si>
    <t>NATIONAL ALUMINIUM FACTORY CO.</t>
  </si>
  <si>
    <t>SAR</t>
  </si>
  <si>
    <t>RLC6100061-001</t>
  </si>
  <si>
    <t>MOHAMMED A.  AL-ABDULKARIM  CO.</t>
  </si>
  <si>
    <t>EUR</t>
  </si>
  <si>
    <t>RLC6102306-001</t>
  </si>
  <si>
    <t>RAZ INDUSTRIAL CO. LTD.</t>
  </si>
  <si>
    <t>RLC6152351-005</t>
  </si>
  <si>
    <t>ARAB SUPPLY AND TRADING CO.</t>
  </si>
  <si>
    <t>RLC6152479-037</t>
  </si>
  <si>
    <t>TOWAIK CO.LTD</t>
  </si>
  <si>
    <t>RLC6153044-002</t>
  </si>
  <si>
    <t>ZAHRAN OPERATION AND MAINTENA</t>
  </si>
  <si>
    <t>RLC6202096-001</t>
  </si>
  <si>
    <t>QASSER AL SARAYA FOR FURNITURE</t>
  </si>
  <si>
    <t>USD</t>
  </si>
  <si>
    <t>RLC6202398-003</t>
  </si>
  <si>
    <t>AL HOBAIL MEDICAL OFFICE CO.</t>
  </si>
  <si>
    <t>RLC6202423-088</t>
  </si>
  <si>
    <t>RLC6203016-001</t>
  </si>
  <si>
    <t>THE NATIONAL AGRICULTURAL</t>
  </si>
  <si>
    <t>RLC6203750-011</t>
  </si>
  <si>
    <t>SODAS SPORTS</t>
  </si>
  <si>
    <t>RLC6203950-002</t>
  </si>
  <si>
    <t>AHMED M.AL-OMAIR SONS CO</t>
  </si>
  <si>
    <t>RLC6203961-003</t>
  </si>
  <si>
    <t>SABCO ALMABANI CCC WLL PACKAG</t>
  </si>
  <si>
    <t>RLC6250134-012</t>
  </si>
  <si>
    <t>SAUDI  ARABIAN TRADING AND</t>
  </si>
  <si>
    <t>RLC6301568-006</t>
  </si>
  <si>
    <t>RLC6303639-008</t>
  </si>
  <si>
    <t>WATER TECHNOLOGY SYSTEM CO.</t>
  </si>
  <si>
    <t>RLC6303701-002</t>
  </si>
  <si>
    <t>ALFALAH CONTRACTING CO.LTD</t>
  </si>
  <si>
    <t>RLC6304034-001</t>
  </si>
  <si>
    <t>SALINI SAUDI ARABIA CO LTD</t>
  </si>
  <si>
    <t>RLC6304319-002</t>
  </si>
  <si>
    <t>IBN OMAIRAH CONTRACTING COMPA</t>
  </si>
  <si>
    <t>RLC6304574-002</t>
  </si>
  <si>
    <t>RAYAN PLASTIC FACTORY CO.</t>
  </si>
  <si>
    <t>RLC6305068-004</t>
  </si>
  <si>
    <t>FUTURE HORIZONS EST.</t>
  </si>
  <si>
    <t>RLC6401841-003</t>
  </si>
  <si>
    <t>ABDULAZIZ OMRAN ALOMRAN CO.</t>
  </si>
  <si>
    <t>RLC6401841-004</t>
  </si>
  <si>
    <t>RLC6401989-027</t>
  </si>
  <si>
    <t>BIN JARALLAH HOLDING</t>
  </si>
  <si>
    <t>RLC6401989-028</t>
  </si>
  <si>
    <t>RLC6402028-002</t>
  </si>
  <si>
    <t>ALFAHDCO</t>
  </si>
  <si>
    <t>RLC6403309-002</t>
  </si>
  <si>
    <t>ALAM TZKAR TRADING EST.</t>
  </si>
  <si>
    <t>RLC6403693-002</t>
  </si>
  <si>
    <t>AL-FALAH CONTRACTING  CO. LTD.</t>
  </si>
  <si>
    <t>RLC6404567-002</t>
  </si>
  <si>
    <t>ASSR ALJAWAL TRADING CO.</t>
  </si>
  <si>
    <t>RLC6404888-002</t>
  </si>
  <si>
    <t>SAUDI MEDIA SYSTEMS</t>
  </si>
  <si>
    <t>RLC6500830-010</t>
  </si>
  <si>
    <t>ABDULLAH NASSER ALMOUSA FOR</t>
  </si>
  <si>
    <t>RLC6501015-018</t>
  </si>
  <si>
    <t>RLC6503256-009</t>
  </si>
  <si>
    <t>THE NATIONAL AGRICULTURAL DEV</t>
  </si>
  <si>
    <t>RLC6504050-008</t>
  </si>
  <si>
    <t>ALJAZEA FOR CONTRACTING AND</t>
  </si>
  <si>
    <t>RLC6504771-002</t>
  </si>
  <si>
    <t>ALAMIYA MEDIA AND ADVERTISING</t>
  </si>
  <si>
    <t>RLC6504838-002</t>
  </si>
  <si>
    <t>SAUDI SERVICES FOR ELECTRO ME</t>
  </si>
  <si>
    <t>RLC6504989-003</t>
  </si>
  <si>
    <t>TETRA TECH FOR TRADING AND</t>
  </si>
  <si>
    <t>RLC6550025-003</t>
  </si>
  <si>
    <t>ALOBEIKAN LIQUID PACKAGING CO.</t>
  </si>
  <si>
    <t>RLC6600003-003</t>
  </si>
  <si>
    <t>NAYYAR INTERNATIONAL RENEWABLE</t>
  </si>
  <si>
    <t>RLC6600262-002</t>
  </si>
  <si>
    <t>RLC6600353-001</t>
  </si>
  <si>
    <t>INTERNATIONAL FEDAK CO.</t>
  </si>
  <si>
    <t>RLC6600795-004</t>
  </si>
  <si>
    <t>M.A.AL ABDULKARIM AND CO LTD</t>
  </si>
  <si>
    <t>RLC6600942-016</t>
  </si>
  <si>
    <t>A.WAHAB A. ALQARAWI GRP. TRD.</t>
  </si>
  <si>
    <t>RLC6601552-002</t>
  </si>
  <si>
    <t>THREE PALM TREES TRADING GROUP.CO</t>
  </si>
  <si>
    <t>RLC6601833-001</t>
  </si>
  <si>
    <t>ABDUL WAHAB AL GARAWI GROUP</t>
  </si>
  <si>
    <t>RLC6602016-007</t>
  </si>
  <si>
    <t>ZAHRAT AL SAHRA CO. FOR TRDG. CONT.</t>
  </si>
  <si>
    <t>RLC6602349-007</t>
  </si>
  <si>
    <t>RLC6602681-001</t>
  </si>
  <si>
    <t>SAUDI TAAB CONTRACTING  CO</t>
  </si>
  <si>
    <t>RLC6603045-002</t>
  </si>
  <si>
    <t>RLC6603361-001</t>
  </si>
  <si>
    <t>A.A.BUSAILI SONS CO.</t>
  </si>
  <si>
    <t>RLC6603899-001</t>
  </si>
  <si>
    <t>AL-FALAH CONTRACTING CO. LTD</t>
  </si>
  <si>
    <t>RLC6604291-003</t>
  </si>
  <si>
    <t>AL YACHT MARKETING</t>
  </si>
  <si>
    <t>AED</t>
  </si>
  <si>
    <t>RLC6604379-014</t>
  </si>
  <si>
    <t>SABCO ALMABANI CCC WLL PACKAGE NO1</t>
  </si>
  <si>
    <t>RLC6604475-003</t>
  </si>
  <si>
    <t>SABCO ALMABANI CCC WLL PACKAGE</t>
  </si>
  <si>
    <t>MOHAMMED MOHAMMED ALRASHID FOR</t>
  </si>
  <si>
    <t>RLC6700272-001</t>
  </si>
  <si>
    <t>RLC6700290-003</t>
  </si>
  <si>
    <t>RLC6700290-005</t>
  </si>
  <si>
    <t>RLC6700377-002</t>
  </si>
  <si>
    <t>DEYARAT TRADING COMPANY</t>
  </si>
  <si>
    <t>RLC6700447-001</t>
  </si>
  <si>
    <t>Saudi Services for Electro Mechanic</t>
  </si>
  <si>
    <t>RLC6701865-006</t>
  </si>
  <si>
    <t>RLC6702216-004</t>
  </si>
  <si>
    <t>shar co</t>
  </si>
  <si>
    <t>RLC6702216-005</t>
  </si>
  <si>
    <t>ALFANAR COMPANY</t>
  </si>
  <si>
    <t>RLC6702429-002</t>
  </si>
  <si>
    <t>RLC6702502-002</t>
  </si>
  <si>
    <t>BAB ALMINWAL RESEARCH</t>
  </si>
  <si>
    <t>AL FANAR Company</t>
  </si>
  <si>
    <t>RLC6702666-001</t>
  </si>
  <si>
    <t>RLC6702666-002</t>
  </si>
  <si>
    <t>RLC6703091-004</t>
  </si>
  <si>
    <t>ZAID ALHUSSAIN AND brothers GROUP</t>
  </si>
  <si>
    <t>AL BABTAIN CONTRACTING CO.,</t>
  </si>
  <si>
    <t>RLC6703153-002</t>
  </si>
  <si>
    <t>AMER HAMAD EL HOSHAN AND</t>
  </si>
  <si>
    <t>RLC6703562-002</t>
  </si>
  <si>
    <t>RLC6703562-001</t>
  </si>
  <si>
    <t>RLC6703588-001</t>
  </si>
  <si>
    <t>CONSOLIDATED CONTRACTORS CO.W.L.L</t>
  </si>
  <si>
    <t>RLC6703589-001</t>
  </si>
  <si>
    <t>ENZAR FOR OPERATION and MAINTENA</t>
  </si>
  <si>
    <t>RLC6703607-002</t>
  </si>
  <si>
    <t>alqasabi contracting co</t>
  </si>
  <si>
    <t>Ageing</t>
  </si>
  <si>
    <t>DLC6700256-004</t>
  </si>
  <si>
    <t>TAMIMI GLOBAL CO.LTD.</t>
  </si>
  <si>
    <t>NATIONAL CONTRACTING CO. LTD</t>
  </si>
  <si>
    <t>NATIONAL CONTRACTING COMPANY</t>
  </si>
  <si>
    <t>DLC6701111-003</t>
  </si>
  <si>
    <t>PA COST INTERNATIONAL COMPANY</t>
  </si>
  <si>
    <t>UNITED HOME WARE COMPANY-NICE</t>
  </si>
  <si>
    <t>JLC6701769-002</t>
  </si>
  <si>
    <t>HISHAM NABIL ALIREZA TRD. CO.</t>
  </si>
  <si>
    <t>JLC6701753-002</t>
  </si>
  <si>
    <t>JLC6701753-003</t>
  </si>
  <si>
    <t>THE FUNDAMENTAL INSTALLATION FOR</t>
  </si>
  <si>
    <t>JLC6602428-004</t>
  </si>
  <si>
    <t>CONSORTIUM OF ADVANCED WATER</t>
  </si>
  <si>
    <t>JLC6600028-012</t>
  </si>
  <si>
    <t>Consortium of Advanced Water</t>
  </si>
  <si>
    <t>JLC6600028-011</t>
  </si>
  <si>
    <t>JLC6602428-003</t>
  </si>
  <si>
    <t>Riyadh</t>
  </si>
  <si>
    <t>Jeddah</t>
  </si>
  <si>
    <t>Dammam</t>
  </si>
  <si>
    <t>INTERNATIONAL HOSPITALS</t>
  </si>
  <si>
    <t>Count_Dammam_Escalation</t>
  </si>
  <si>
    <t>Count_Riyadh_Escalation</t>
  </si>
  <si>
    <t>Count_Jeddah_Escalation</t>
  </si>
  <si>
    <t>JLC6601005-019</t>
  </si>
  <si>
    <t>ALMANJOOF CONTRACTING AND</t>
  </si>
  <si>
    <t>CREET INTERNATIONAL CONTRACTING CO</t>
  </si>
  <si>
    <t>JLC6601334-007</t>
  </si>
  <si>
    <t>JLC6601155-003</t>
  </si>
  <si>
    <t>FURSAN REAL ESTATE CO.</t>
  </si>
  <si>
    <t>Count_Riyadh_Super_Escalation</t>
  </si>
  <si>
    <t>Count_Dammam_Super_Escalation</t>
  </si>
  <si>
    <t>Less Than 60 Days</t>
  </si>
  <si>
    <t>TFC-Import LC Settlement-Riyadh</t>
  </si>
  <si>
    <t>TFC-Import LC Settlement-Dammam</t>
  </si>
  <si>
    <t>TFC-Import LC Settlement-Jeddah</t>
  </si>
  <si>
    <t>Date</t>
  </si>
  <si>
    <t>Email id's</t>
  </si>
  <si>
    <t>Count_JeddahLessThan60</t>
  </si>
  <si>
    <t>Count_DammamLessThan60</t>
  </si>
  <si>
    <t>Count_RiyadhLessThan60</t>
  </si>
  <si>
    <t>Maker ID</t>
  </si>
  <si>
    <t>Email Not Found</t>
  </si>
  <si>
    <t>Count_Jeddah_Super_Escalation</t>
  </si>
  <si>
    <t>Count_No_Email_Riyadh</t>
  </si>
  <si>
    <t>Count_No_Email_Dammam</t>
  </si>
  <si>
    <t>Count_No_Email_Jeddah</t>
  </si>
  <si>
    <t>Date_1_Dammam</t>
  </si>
  <si>
    <t>Day_1_Riyadh</t>
  </si>
  <si>
    <t>Day_1_Jeddah</t>
  </si>
  <si>
    <t>LC NUMBER</t>
  </si>
  <si>
    <t>JLC6701769</t>
  </si>
  <si>
    <t>JLC6701753</t>
  </si>
  <si>
    <t>JLC6602428</t>
  </si>
  <si>
    <t>JLC6600028</t>
  </si>
  <si>
    <t>DLC6701111</t>
  </si>
  <si>
    <t>RLC6703091</t>
  </si>
  <si>
    <t>RLC6701865</t>
  </si>
  <si>
    <t>RLC6152479</t>
  </si>
  <si>
    <t>RLC6550025</t>
  </si>
  <si>
    <t>RLC6702216</t>
  </si>
  <si>
    <t>RLC6702576</t>
  </si>
  <si>
    <t>RLC6703607</t>
  </si>
  <si>
    <t>RLC6703588</t>
  </si>
  <si>
    <t>RLC6604475</t>
  </si>
  <si>
    <t>RLC6703589</t>
  </si>
  <si>
    <t>LC Number:</t>
  </si>
  <si>
    <t>Customer ID:</t>
  </si>
  <si>
    <t>ZAID ALHUSSAIN AND BROTHERS GROUP</t>
  </si>
  <si>
    <t>SAUDI SERVICES FOR ELECTRO MECHANIC</t>
  </si>
  <si>
    <t>SHAR CO</t>
  </si>
  <si>
    <t>AL FANAR COMPANY</t>
  </si>
  <si>
    <t>ALQASABI CONTRACTING CO</t>
  </si>
  <si>
    <t>CONSOLIDATED CONTRACTING CO. W.L.L</t>
  </si>
  <si>
    <t>ENZAR FOR OPERATION AND MAINTENA</t>
  </si>
  <si>
    <t>BAWANI SALINI SAJCO JOINT VENTURE</t>
  </si>
  <si>
    <t>2000584</t>
  </si>
  <si>
    <t>2004087</t>
  </si>
  <si>
    <t>2014629</t>
  </si>
  <si>
    <t>2018183</t>
  </si>
  <si>
    <r>
      <t xml:space="preserve">OUTSTANDING REPORT - </t>
    </r>
    <r>
      <rPr>
        <sz val="14"/>
        <color theme="6" tint="-0.249977111117893"/>
        <rFont val="Basement Grotesque Roman"/>
        <family val="3"/>
      </rPr>
      <t>DAMMAM</t>
    </r>
  </si>
  <si>
    <r>
      <t xml:space="preserve">OUTSTANDING REPORT - </t>
    </r>
    <r>
      <rPr>
        <sz val="14"/>
        <color theme="5" tint="-0.249977111117893"/>
        <rFont val="Basement Grotesque Roman"/>
        <family val="3"/>
      </rPr>
      <t>JEDDAH</t>
    </r>
  </si>
  <si>
    <r>
      <t xml:space="preserve">OUTSTANDING REPORT - </t>
    </r>
    <r>
      <rPr>
        <sz val="14"/>
        <color rgb="FF002060"/>
        <rFont val="Basement Grotesque Roman"/>
        <family val="3"/>
      </rPr>
      <t>RIYADH</t>
    </r>
  </si>
  <si>
    <r>
      <t xml:space="preserve">OUTSTANDING REPORT &gt; Than 60 Days- </t>
    </r>
    <r>
      <rPr>
        <sz val="14"/>
        <color rgb="FF002060"/>
        <rFont val="Basement Grotesque Roman"/>
        <family val="3"/>
      </rPr>
      <t>RIYADH</t>
    </r>
  </si>
  <si>
    <r>
      <t xml:space="preserve">OUTSTANDING REPORT &gt; Than 60 Days- </t>
    </r>
    <r>
      <rPr>
        <sz val="14"/>
        <color rgb="FF002060"/>
        <rFont val="Basement Grotesque Roman"/>
        <family val="3"/>
      </rPr>
      <t>DAMMAM</t>
    </r>
  </si>
  <si>
    <t>OUTSTANDING REPORT &gt; Than 60 Days- JEDDAH</t>
  </si>
  <si>
    <t>THREE PALM TREES TRADING GROUP CO</t>
  </si>
  <si>
    <t>ALSABQ ALARABI TRADING AND CONT CO.</t>
  </si>
  <si>
    <t>AL TOUKHI COMPANY FOR INDUSTRY</t>
  </si>
  <si>
    <t>TETRA TECH FOR TRADING AND CONTRACTING COMPANY</t>
  </si>
  <si>
    <t>LADUN INVESTMENT COMPANY</t>
  </si>
  <si>
    <t>NOZOM ALKHEBRAT IT CO.</t>
  </si>
  <si>
    <t>OUTSTANDING REPORT &gt; Than 70 Days- RIYADH</t>
  </si>
  <si>
    <t>OUTSTANDING REPORT &gt; Than 70 Days- DAMMAM</t>
  </si>
  <si>
    <t>OUTSTANDING REPORT &gt; Than 70 Days- JEDDAH</t>
  </si>
  <si>
    <t xml:space="preserve">Dear Team,
Good Job! 
Please note that there are no records for escalation for more than 60 Days after the registration of discrepant documents.
Thank you. </t>
  </si>
  <si>
    <t xml:space="preserve">Dear Team,
Good Day! 
Attached is a list of Letter of Credit documents for the customer who has yet to respond to our request for acceptance/refusal of discrepant documents after 60 days of follow-ups.
Per our bank's internal policy, we request that you return the documents to their origin Within 10 Days. (Check the Ageing Column between 60 to 70 Days) 
After 70 Days of Ageing. The issue will be escalated further if documents are not returned. 
Thank you. </t>
  </si>
  <si>
    <t>OUTSTANDING REPORT &gt; Than 70 Days- ALL REGIONS</t>
  </si>
  <si>
    <t>Super_Escalation_Riyadh</t>
  </si>
  <si>
    <t>More than 60 Days</t>
  </si>
  <si>
    <t>Testing</t>
  </si>
  <si>
    <t>Enviroment:</t>
  </si>
  <si>
    <t>RLC6702391-001</t>
  </si>
  <si>
    <t>RLC6604744-009</t>
  </si>
  <si>
    <t>RLC6703773-002</t>
  </si>
  <si>
    <t>THE NATIONAL MEDICAL PRODUCTS</t>
  </si>
  <si>
    <t>RLC6701022-012</t>
  </si>
  <si>
    <t>RLC6703075-001</t>
  </si>
  <si>
    <t>RLC6701791-005</t>
  </si>
  <si>
    <t>SAUDI ARABIAN TRADING AND</t>
  </si>
  <si>
    <t>RLC6703490-012</t>
  </si>
  <si>
    <t>RLC6703760-001</t>
  </si>
  <si>
    <t>RLC6700392-006</t>
  </si>
  <si>
    <t>RLC6603958-007</t>
  </si>
  <si>
    <t>TWAIK CO. LTD.</t>
  </si>
  <si>
    <t>RLC6701436-006</t>
  </si>
  <si>
    <t>RAMAH ALUMINIUM FACTORY</t>
  </si>
  <si>
    <t>RLC6701732-012</t>
  </si>
  <si>
    <t>SAUDI BLANTEX</t>
  </si>
  <si>
    <t>RLC6704371-001</t>
  </si>
  <si>
    <t>OFFICE PRODUCTS CO. LTD.</t>
  </si>
  <si>
    <t>RLC6700978-001</t>
  </si>
  <si>
    <t>RLC6700825-001</t>
  </si>
  <si>
    <t>RLC6700827-001</t>
  </si>
  <si>
    <t>RLC6702577-004</t>
  </si>
  <si>
    <t>RLC6601358-002</t>
  </si>
  <si>
    <t>RLC6700822-001</t>
  </si>
  <si>
    <t>RLC6604827-007</t>
  </si>
  <si>
    <t>RLC6702576-005</t>
  </si>
  <si>
    <t>RLC6702577-005</t>
  </si>
  <si>
    <t>RLC6702579-005</t>
  </si>
  <si>
    <t>RLC6702579-004</t>
  </si>
  <si>
    <t>RLC6700979-001</t>
  </si>
  <si>
    <t>RLC6701101-003</t>
  </si>
  <si>
    <t>EL SEIF ENGINEERING</t>
  </si>
  <si>
    <t>RLC6701101-002</t>
  </si>
  <si>
    <t>RLC6702620-001</t>
  </si>
  <si>
    <t>ABR CONTRACTING COMPANY</t>
  </si>
  <si>
    <t>RLC6702754-001</t>
  </si>
  <si>
    <t>ADVANCED TECHNOLOGY AND SERVICES</t>
  </si>
  <si>
    <t>RLC6703502-001</t>
  </si>
  <si>
    <t>RLC6703607-003</t>
  </si>
  <si>
    <t>RLC6703922-002</t>
  </si>
  <si>
    <t>CONSOLIDATED CONTRACTORS CO. W.L.L</t>
  </si>
  <si>
    <t>RLC6702871-002</t>
  </si>
  <si>
    <t>RLC6603058-007</t>
  </si>
  <si>
    <t>RLC6702696-003</t>
  </si>
  <si>
    <t>DIGITAL SECURITY FOUNDATIONS</t>
  </si>
  <si>
    <t>JLC6702282-001</t>
  </si>
  <si>
    <t>JLC6702080-001</t>
  </si>
  <si>
    <t>ABBAR AND SONS FOOD CO.LTD.,</t>
  </si>
  <si>
    <t>JLC6701685-001</t>
  </si>
  <si>
    <t>UNITECH-ISAM KABBANI AND PARTNERS</t>
  </si>
  <si>
    <t>PETROMIN CORPORATION</t>
  </si>
  <si>
    <t>JLC6701459-012</t>
  </si>
  <si>
    <t>JLC6702169-001</t>
  </si>
  <si>
    <t>NATIONAL TRADING COMPANY LTD</t>
  </si>
  <si>
    <t>JLC6700219-008</t>
  </si>
  <si>
    <t>SAUDI SICLI COMPANY</t>
  </si>
  <si>
    <t>JLC6700823-002</t>
  </si>
  <si>
    <t>JLC6701747-001</t>
  </si>
  <si>
    <t>SAAD S. ALSAEDI AND SONS JOINT</t>
  </si>
  <si>
    <t>JLC6702230-001</t>
  </si>
  <si>
    <t>TAMER ARABIA TRADING COMPANY</t>
  </si>
  <si>
    <t>JLC6702230-002</t>
  </si>
  <si>
    <t>JLC6702331-001</t>
  </si>
  <si>
    <t>ALMABANI GENERAL CONTRACTORS CO</t>
  </si>
  <si>
    <t>JLC6701708-001</t>
  </si>
  <si>
    <t>JLC6701753-004</t>
  </si>
  <si>
    <t>JLC6701520-001</t>
  </si>
  <si>
    <t>JLC6700804-002</t>
  </si>
  <si>
    <t>RAWAFID INDUSTRIAL COMPANY</t>
  </si>
  <si>
    <t>1092871</t>
  </si>
  <si>
    <t>DLC6701091-005</t>
  </si>
  <si>
    <t>ZAMIL OFFSHORE SERVICES COMPANY</t>
  </si>
  <si>
    <t>1100475</t>
  </si>
  <si>
    <t>DLC6702084-001</t>
  </si>
  <si>
    <t>GAS ARABIAN SERVICES</t>
  </si>
  <si>
    <t>1102346</t>
  </si>
  <si>
    <t>DLC6702065-001</t>
  </si>
  <si>
    <t>ADAWLIAH ELECTRONIC APPLIANCES</t>
  </si>
  <si>
    <t>1117912</t>
  </si>
  <si>
    <t>DLC6701812-001</t>
  </si>
  <si>
    <t>AL RAFEEAA CONTRACTING CO</t>
  </si>
  <si>
    <t>DLC6701814-002</t>
  </si>
  <si>
    <t>DLC6701775-001</t>
  </si>
  <si>
    <t>DLC6701599-001</t>
  </si>
  <si>
    <t>2002608</t>
  </si>
  <si>
    <t>DLC6702121-001</t>
  </si>
  <si>
    <t>AL ASRY ELECTRIC CO.LTD</t>
  </si>
  <si>
    <t>DLC6701762-001</t>
  </si>
  <si>
    <t>PA COST INTERNATIONAL CO</t>
  </si>
  <si>
    <t>DLC6701401-001</t>
  </si>
  <si>
    <t>JLC6702282</t>
  </si>
  <si>
    <t>JLC6701459</t>
  </si>
  <si>
    <t>JLC6702169</t>
  </si>
  <si>
    <t>JLC6700823</t>
  </si>
  <si>
    <t>JLC6701747</t>
  </si>
  <si>
    <t>JLC6702230</t>
  </si>
  <si>
    <t>JLC6702331</t>
  </si>
  <si>
    <t>JLC6701708</t>
  </si>
  <si>
    <t>JLC6701520</t>
  </si>
  <si>
    <t>JLC6700804</t>
  </si>
  <si>
    <t>Rawafid Industrial Company</t>
  </si>
  <si>
    <t>DLC6701091</t>
  </si>
  <si>
    <t>DLC6702084</t>
  </si>
  <si>
    <t>DLC6702065</t>
  </si>
  <si>
    <t>DLC6701812</t>
  </si>
  <si>
    <t>DLC6701814</t>
  </si>
  <si>
    <t>DLC6701599</t>
  </si>
  <si>
    <t>DLC6701775</t>
  </si>
  <si>
    <t>DLC6702121</t>
  </si>
  <si>
    <t>DLC6701762</t>
  </si>
  <si>
    <t>DLC6701401</t>
  </si>
  <si>
    <t>RLC6702391</t>
  </si>
  <si>
    <t>RLC6604744</t>
  </si>
  <si>
    <t>Zaid Alhussain and Brothers Group</t>
  </si>
  <si>
    <t>RLC6703773</t>
  </si>
  <si>
    <t>the national medical products</t>
  </si>
  <si>
    <t>RLC6701022</t>
  </si>
  <si>
    <t>RLC6703075</t>
  </si>
  <si>
    <t>RLC6701791</t>
  </si>
  <si>
    <t>RLC6703490</t>
  </si>
  <si>
    <t>Abdul Wahab Al Garawi Group</t>
  </si>
  <si>
    <t>RLC6703760</t>
  </si>
  <si>
    <t>RLC6700392</t>
  </si>
  <si>
    <t>RLC6603958</t>
  </si>
  <si>
    <t>RLC6701436</t>
  </si>
  <si>
    <t>RLC6701732</t>
  </si>
  <si>
    <t>RLC6704371</t>
  </si>
  <si>
    <t>RLC6700827</t>
  </si>
  <si>
    <t>RLC6700979</t>
  </si>
  <si>
    <t>RLC6700978</t>
  </si>
  <si>
    <t>alfanar company</t>
  </si>
  <si>
    <t>RLC6700822</t>
  </si>
  <si>
    <t>RLC6604827</t>
  </si>
  <si>
    <t>RLC6601358</t>
  </si>
  <si>
    <t>RLC6700825</t>
  </si>
  <si>
    <t>RLC6702577</t>
  </si>
  <si>
    <t>RLC6702579</t>
  </si>
  <si>
    <t>RLC6701101</t>
  </si>
  <si>
    <t>RLC6702620</t>
  </si>
  <si>
    <t>RLC6703502</t>
  </si>
  <si>
    <t>RLC6702754</t>
  </si>
  <si>
    <t>RLC6703922</t>
  </si>
  <si>
    <t>consolidated contractors co. w.l.l</t>
  </si>
  <si>
    <t>RLC6702871</t>
  </si>
  <si>
    <t>RLC6603058</t>
  </si>
  <si>
    <t>RLC6702696</t>
  </si>
  <si>
    <t>Maker Name</t>
  </si>
  <si>
    <t>Sulaiman AlOwayyid</t>
  </si>
  <si>
    <t>Basheer Uddin Mohammad</t>
  </si>
  <si>
    <t>Checker Name</t>
  </si>
  <si>
    <t>Farhan Shaikh</t>
  </si>
  <si>
    <t>Mohammed Al-Fadda</t>
  </si>
  <si>
    <t>Ibrahem Alqurashi</t>
  </si>
  <si>
    <t>Rawiyah Al-Oufi</t>
  </si>
  <si>
    <t>Ghaida Algarni</t>
  </si>
  <si>
    <t>Abdulaziz AlSror</t>
  </si>
  <si>
    <t>Azeez M. Abdul</t>
  </si>
  <si>
    <t>Hussain W Wazir</t>
  </si>
  <si>
    <t>Checker ID</t>
  </si>
  <si>
    <t>Checker_ID</t>
  </si>
  <si>
    <t>Abdulrahman Al-Meiman</t>
  </si>
  <si>
    <t>Count</t>
  </si>
  <si>
    <t>Region</t>
  </si>
  <si>
    <t>Interval</t>
  </si>
  <si>
    <t>less than 60 days</t>
  </si>
  <si>
    <t>x</t>
  </si>
  <si>
    <t>y</t>
  </si>
  <si>
    <t>Outstanding Discrepancy Report</t>
  </si>
  <si>
    <t>RIYADH</t>
  </si>
  <si>
    <t>JEDDAH</t>
  </si>
  <si>
    <t>DAMMAM</t>
  </si>
  <si>
    <t>Riy-LT 60 Days</t>
  </si>
  <si>
    <t>Dam-LT 60 Days</t>
  </si>
  <si>
    <t>Jed-LT 60 Days</t>
  </si>
  <si>
    <t>Riy-MT 60 Days</t>
  </si>
  <si>
    <t>Dam-MT 60 Days</t>
  </si>
  <si>
    <t>Jed-MT 60 Days</t>
  </si>
  <si>
    <t>From</t>
  </si>
  <si>
    <t>To</t>
  </si>
  <si>
    <t xml:space="preserve">Dear Sir,
Below is the MIS Report for the 3 Regions.
Also, Please find attached a list of customers who have been pending in the system for more than 70 Days after the registration of discrepant documents.
The settlement team was informed about that, but no action was taken.
Thank you. </t>
  </si>
  <si>
    <t xml:space="preserve">Dear Sir,
Below is the MIS Report for the 3 Regions.
Please note that there are no records of Pending discrepant documents for greater than 70 Days.
Thank you. </t>
  </si>
  <si>
    <t>RLC6700079-008</t>
  </si>
  <si>
    <t>THE NATIONAL AGRICULTURAL DEV. CO.</t>
  </si>
  <si>
    <t>RLC6702451-001</t>
  </si>
  <si>
    <t>RLC6200994-116</t>
  </si>
  <si>
    <t>RLC6200994-117</t>
  </si>
  <si>
    <t>RLC6702187-002</t>
  </si>
  <si>
    <t>ADVANCED COMMUNICATIONS AND</t>
  </si>
  <si>
    <t>RLC6703588-003</t>
  </si>
  <si>
    <t>RLC6700079</t>
  </si>
  <si>
    <t>RLC6702451</t>
  </si>
  <si>
    <t>RLC6200994</t>
  </si>
  <si>
    <t>RLC6702187</t>
  </si>
  <si>
    <t>Advanced Communications and</t>
  </si>
  <si>
    <t>Mashael M Fagih</t>
  </si>
  <si>
    <t>Dear Team,
Good Day!
Email has been sent to customer whose email Id's are available. Please find attached report to whom email ids' are not been sent due to unavailability of email ID. Kindly provide email id's so that emails can be sent tomorrow.
Thank you.</t>
  </si>
  <si>
    <t>RLC6702199-006</t>
  </si>
  <si>
    <t>ALTOUKHI COMPANY FOR INDUSTRY</t>
  </si>
  <si>
    <t>RLC6703834-001</t>
  </si>
  <si>
    <t>SAMA ENERGY COMPANY.</t>
  </si>
  <si>
    <t>DLC6601755</t>
  </si>
  <si>
    <t>DLC6601755-037</t>
  </si>
  <si>
    <t>TAMIMI PRE-ENGINEERED BUILDING</t>
  </si>
  <si>
    <t>RLC6702199</t>
  </si>
  <si>
    <t>RLC6703834</t>
  </si>
  <si>
    <t>Sama Energy Company.</t>
  </si>
  <si>
    <t>1099841</t>
  </si>
  <si>
    <t>\</t>
  </si>
  <si>
    <t>Dear Team,
Unfortunately, I will not be able to send email's today since I do not have any email 's available for today's report. Please send the same at earliest convience.
Thank you.</t>
  </si>
  <si>
    <t>zohaib.h.jaffari@riyadbank.com</t>
  </si>
  <si>
    <t>abdullah.asire@riyadbank.com</t>
  </si>
  <si>
    <t>saleem.al-saba@riyadbank.com</t>
  </si>
  <si>
    <t>mohammed.hussain@riyadbank.com</t>
  </si>
  <si>
    <t>Country Head</t>
  </si>
  <si>
    <t>Regional Heads</t>
  </si>
  <si>
    <t>ca@ihcc.sa;sa3@ihcc.sa;</t>
  </si>
  <si>
    <t>NABIL SAIF &lt;nabil.saif@tamergroup.com&gt;;Mohammed Rehan Ditta &lt;mohammed.rehanditta@tamergroup.com&gt;;</t>
  </si>
  <si>
    <t>Muddathir@zamiloffshore.com;Clarence@zamiloffshore.com;</t>
  </si>
  <si>
    <t>kgamal@al-tamimi.com; ;</t>
  </si>
  <si>
    <t>hari.seshan@ncc.com.sa;santosh.devadiga@rezayat.com.sa;saravanan.ambi@ncc.com.sa</t>
  </si>
  <si>
    <t>Ahmed.Mansour@yc.com.sa;mabotaleb@yc.com.sa;</t>
  </si>
  <si>
    <t>MARWA.A@NICE.CO;mesbah.h@nice.co;TRADESUPPLYCHAIN@nice.co</t>
  </si>
  <si>
    <t>marco-finance@mrtc.com.sa</t>
  </si>
  <si>
    <t>a.aleem@zaidg.com; ;</t>
  </si>
  <si>
    <t>salim.damnan@damad.com; 'Osama Kathlan' &lt;osama.khathlan@damad.com&gt;; 'Jabin Raj' &lt;jabin.raj@damad.com&gt;</t>
  </si>
  <si>
    <t>Noura O. Abuhaimed &lt;no.abuhaimed@nadec.com.sa&gt;; Seifeldeen.Ibrahim@nadec.com.sa</t>
  </si>
  <si>
    <t>m.badawy@abc.sa.com;atef.m@abc.sa.com;humphry.b@abc.sa.com; m.sadique@abc.sa.com; sultan.s@abc.sa.com</t>
  </si>
  <si>
    <t>a.rabea@ssem.com.sa;t.elnaggar@ssem.com.sa;z.wahed@ssem.com.sa</t>
  </si>
  <si>
    <t>salam.hajj@satco.sa;syed.zeeshan@satco.sa;wesam.alyahya@satco.sa</t>
  </si>
  <si>
    <t>khaled@algarawigroup.sa; ;</t>
  </si>
  <si>
    <t>financemanager@alunafco.com; ALUMINUM@ALUNAFCO.COM; CHIEFACCOUNTANT@ALUNAFCO.COM;</t>
  </si>
  <si>
    <t>m.zahran@zas.com.sa;mostafa.hamam@zas.com.sa;</t>
  </si>
  <si>
    <t>info@twaik.com;ahmed@twaik.com;</t>
  </si>
  <si>
    <t>niqbal@aces-co.com;tarik@aces-co.com;ahosni@aces-co.com</t>
  </si>
  <si>
    <t>bahy@ramah-sa.com;samer.alhayek@ramah-sa.com;</t>
  </si>
  <si>
    <t>info@saudiblantex.com; ;</t>
  </si>
  <si>
    <t>kashif@obeikan.com.sa;arshad.m@obeikan.com.sa;</t>
  </si>
  <si>
    <t>tfarooqui@hoshangroup.com; mjavaid@hoshangroup.com;</t>
  </si>
  <si>
    <t>ct@alfanar.com; Raghad.Alseraeya@alfanar.com;Ghiath.Audi@alfanar.com; Abeer.Alotaibi@alfanar.com</t>
  </si>
  <si>
    <t>a.elsayed@el-seif.com.sa;m.arletti@el-seif.com.sa;</t>
  </si>
  <si>
    <t>fshakra@abrcontracting.com;Aashry@abrcontracting.com;aalkharaan@abrcontracting.com</t>
  </si>
  <si>
    <t>maalkhyat@satc.com.sa;maalkhyat@satc.com.sa; mmalqahtani@satc.com.sa</t>
  </si>
  <si>
    <t>anas@alqasabi.com.sa</t>
  </si>
  <si>
    <t>aalsaif@bacsrmp.com;smoujaes@bacsrmp.com</t>
  </si>
  <si>
    <t>MAnwar@altoukhi.com;Usman@altoukhi.com;abdulazeez@altoukhi.com</t>
  </si>
  <si>
    <t>m.farghli@se.net.sa</t>
  </si>
  <si>
    <t xml:space="preserve">OsamaKhayat&lt;o.khayat@bssjv.com                                                                                                                                                                                                                                </t>
  </si>
  <si>
    <t>RLC6701391-001</t>
  </si>
  <si>
    <t>ADWAN CHEMICAL INDUSTRIES CO. LTD</t>
  </si>
  <si>
    <t>RLC6703707-001</t>
  </si>
  <si>
    <t>RLC6704121-001</t>
  </si>
  <si>
    <t>FAZAH INDUSTRIAL COMPANY</t>
  </si>
  <si>
    <t>RLC6703858-002</t>
  </si>
  <si>
    <t>RLC6703292-002</t>
  </si>
  <si>
    <t>ALGIHAZ CONTRACTING CO</t>
  </si>
  <si>
    <t>RLC6703303-001</t>
  </si>
  <si>
    <t>Bakri@adwanchem.com; fazil@adwanchem.com; Faisal@adwanchem.com</t>
  </si>
  <si>
    <t>SHAFEEQ@FAZAH.NET;WAEL@FAZAH.NET;</t>
  </si>
  <si>
    <t>luay.mando@algihaz.com;CT@algihaz.com;ahid.farooq@algihaz.com; Yaseen Adi &lt;yaseen.adi@algihaz.com&gt;; Rami Albakri &lt;rami.albakri@algihaz.com&gt;; Noura Alangari &lt;noura.alangari@Algihaz.com&gt;</t>
  </si>
  <si>
    <t>finance@salinisa.com;a.bartolata@salinisa.com;i.rehimy@salinisa.com</t>
  </si>
  <si>
    <t>JLC6702070</t>
  </si>
  <si>
    <t>JLC6702070-001</t>
  </si>
  <si>
    <t>DLC6702311</t>
  </si>
  <si>
    <t>DLC6702311-001</t>
  </si>
  <si>
    <t>GLOBAL CONSTRUCTION CONTRACTING CO</t>
  </si>
  <si>
    <t>ezz@globalconstruction.com.sa;Hitham@globalconstruction.com.sa;</t>
  </si>
  <si>
    <t>RLC6701391</t>
  </si>
  <si>
    <t>RLC6703707</t>
  </si>
  <si>
    <t>RLC6704121</t>
  </si>
  <si>
    <t>RLC6703858</t>
  </si>
  <si>
    <t>RLC6703292</t>
  </si>
  <si>
    <t>RLC6703303</t>
  </si>
  <si>
    <t>2014072</t>
  </si>
  <si>
    <t>Dear Team,
Please find attached a list of customers for whom I require email addresses to send automated reports. Kindly provide the email addresses at your earliest convenience.
Thank You.</t>
  </si>
  <si>
    <t>RLC6603980-006</t>
  </si>
  <si>
    <t>MOHAMMED MOHAMMED AL RASHID FOR</t>
  </si>
  <si>
    <t>RLC6703091-005</t>
  </si>
  <si>
    <t>RLC6704103-001</t>
  </si>
  <si>
    <t>RLC6703313-002</t>
  </si>
  <si>
    <t>ABDULALI AL AJMI CO.LTD.</t>
  </si>
  <si>
    <t>RLC6703707-002</t>
  </si>
  <si>
    <t>RLC6704485-001</t>
  </si>
  <si>
    <t>RLC6701732-014</t>
  </si>
  <si>
    <t>RLC6702976-002</t>
  </si>
  <si>
    <t>BIN OMAIRAH CONTRACTING CO.</t>
  </si>
  <si>
    <t>RLC6704004-001</t>
  </si>
  <si>
    <t>AL-SABQ AL-ARABI TRADING AND CONT.</t>
  </si>
  <si>
    <t>RLC6703566-001</t>
  </si>
  <si>
    <t>RLC6704182-001</t>
  </si>
  <si>
    <t>BASSAM TRADING COMPANY LTD</t>
  </si>
  <si>
    <t>JLC6701896-003</t>
  </si>
  <si>
    <t>CUBE METAL INDUSTRIES CO</t>
  </si>
  <si>
    <t>ALMABANI GENERAL CONTRACTORS</t>
  </si>
  <si>
    <t>DLC6700125-066</t>
  </si>
  <si>
    <t>Nesma and Partners CONTRACTING Co</t>
  </si>
  <si>
    <t>DLC6700125-067</t>
  </si>
  <si>
    <t>DLC6700125-068</t>
  </si>
  <si>
    <t>DLC6700125-065</t>
  </si>
  <si>
    <t>DLC6700125-064</t>
  </si>
  <si>
    <t>DLC6700125-069</t>
  </si>
  <si>
    <t>mohamed.magdi@alajmicompany.com;mostafa.salem@alajmicompany.com;financial.mgr@alajmicompany.com</t>
  </si>
  <si>
    <t>m.abdelwahab@ioc.com.sa; ;</t>
  </si>
  <si>
    <t>operations.coordinator@bassamtrading.com;finance.manager@bassamtrading.com;</t>
  </si>
  <si>
    <t>JLC6701896</t>
  </si>
  <si>
    <t>DLC6700125</t>
  </si>
  <si>
    <t>RLC6603980</t>
  </si>
  <si>
    <t>Mohammed Mohammed Al Rashid for</t>
  </si>
  <si>
    <t>RLC6704103</t>
  </si>
  <si>
    <t>RLC6703313</t>
  </si>
  <si>
    <t>RLC6704485</t>
  </si>
  <si>
    <t>RLC6702976</t>
  </si>
  <si>
    <t>RLC6704004</t>
  </si>
  <si>
    <t>Al-Sabq Al-Arabi Trading and Cont.</t>
  </si>
  <si>
    <t>RLC6703566</t>
  </si>
  <si>
    <t>RLC6704182</t>
  </si>
  <si>
    <t>Reem H Banafea</t>
  </si>
  <si>
    <t>RLC6702963-003</t>
  </si>
  <si>
    <t>ARABIAN TRDG. AND CONTG. (SATC0)</t>
  </si>
  <si>
    <t>RLC6702963-004</t>
  </si>
  <si>
    <t>RLC6701865-007</t>
  </si>
  <si>
    <t>RLC6703828-001</t>
  </si>
  <si>
    <t>RAZIN TRADING CO. LTD.</t>
  </si>
  <si>
    <t>RLC6703615-002</t>
  </si>
  <si>
    <t>RLC6701960-005</t>
  </si>
  <si>
    <t>JLC6701147-004</t>
  </si>
  <si>
    <t>1119257</t>
  </si>
  <si>
    <t>DLC6701252-002</t>
  </si>
  <si>
    <t>Al- KHALDI REAL ESTATE CO.</t>
  </si>
  <si>
    <t>AHAMAD@RAZIN.COM;mohamed.hashem@razin.com;</t>
  </si>
  <si>
    <t>JLC6701147</t>
  </si>
  <si>
    <t>DLC6701252</t>
  </si>
  <si>
    <t>RLC6702963</t>
  </si>
  <si>
    <t>RLC6703828</t>
  </si>
  <si>
    <t>RLC6703615</t>
  </si>
  <si>
    <t>RLC6701960</t>
  </si>
  <si>
    <t>Abdullah T Al-Anazi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</si>
</sst>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Aptos Narrow"/>
      <family val="2"/>
      <scheme val="minor"/>
    </font>
    <font>
      <b/>
      <sz val="11"/>
      <color theme="0"/>
      <name val="Aptos Narrow"/>
      <family val="2"/>
      <scheme val="minor"/>
    </font>
    <font>
      <b/>
      <sz val="11"/>
      <color theme="1"/>
      <name val="Aptos Narrow"/>
      <family val="2"/>
      <scheme val="minor"/>
    </font>
    <font>
      <u/>
      <sz val="11"/>
      <color theme="10"/>
      <name val="Aptos Narrow"/>
      <family val="2"/>
      <scheme val="minor"/>
    </font>
    <font>
      <b/>
      <sz val="14"/>
      <color rgb="FFFF0000"/>
      <name val="Aptos Narrow"/>
      <family val="2"/>
      <scheme val="minor"/>
    </font>
    <font>
      <b/>
      <sz val="16"/>
      <color rgb="FFFF0000"/>
      <name val="Aptos Narrow"/>
      <family val="2"/>
      <scheme val="minor"/>
    </font>
    <font>
      <sz val="14"/>
      <color theme="1"/>
      <name val="Basement Grotesque Roman"/>
      <family val="3"/>
    </font>
    <font>
      <sz val="14"/>
      <color rgb="FF002060"/>
      <name val="Basement Grotesque Roman"/>
      <family val="3"/>
    </font>
    <font>
      <sz val="14"/>
      <color theme="5" tint="-0.249977111117893"/>
      <name val="Basement Grotesque Roman"/>
      <family val="3"/>
    </font>
    <font>
      <sz val="14"/>
      <color theme="6" tint="-0.249977111117893"/>
      <name val="Basement Grotesque Roman"/>
      <family val="3"/>
    </font>
    <font>
      <sz val="11"/>
      <color rgb="FFFF0000"/>
      <name val="Aptos Narrow"/>
      <family val="2"/>
      <scheme val="minor"/>
    </font>
    <font>
      <b/>
      <u/>
      <sz val="11"/>
      <color theme="1"/>
      <name val="Aptos Narrow"/>
      <family val="2"/>
      <scheme val="minor"/>
    </font>
    <font>
      <sz val="8"/>
      <name val="Aptos Narrow"/>
      <family val="2"/>
      <scheme val="minor"/>
    </font>
    <font>
      <sz val="11"/>
      <color theme="0"/>
      <name val="Aptos Narrow"/>
      <family val="2"/>
      <scheme val="minor"/>
    </font>
    <font>
      <sz val="8"/>
      <color rgb="FF000000"/>
      <name val="Segoe UI"/>
      <family val="2"/>
    </font>
    <font>
      <sz val="11"/>
      <color theme="1"/>
      <name val="Aptos Display"/>
      <family val="2"/>
      <scheme val="major"/>
    </font>
    <font>
      <b/>
      <sz val="11"/>
      <color theme="1"/>
      <name val="Aptos Display"/>
      <family val="2"/>
      <scheme val="major"/>
    </font>
    <font>
      <u/>
      <sz val="11"/>
      <color theme="10"/>
      <name val="Aptos Display"/>
      <family val="2"/>
      <scheme val="major"/>
    </font>
  </fonts>
  <fills count="4">
    <fill>
      <patternFill patternType="none"/>
    </fill>
    <fill>
      <patternFill patternType="gray125"/>
    </fill>
    <fill>
      <patternFill patternType="solid">
        <fgColor theme="1"/>
        <bgColor indexed="64"/>
      </patternFill>
    </fill>
    <fill>
      <patternFill patternType="solid">
        <fgColor theme="1"/>
        <bgColor theme="1"/>
      </patternFill>
    </fill>
  </fills>
  <borders count="4">
    <border>
      <left/>
      <right/>
      <top/>
      <bottom/>
      <diagonal/>
    </border>
    <border>
      <left style="medium">
        <color indexed="64"/>
      </left>
      <right style="medium">
        <color indexed="64"/>
      </right>
      <top style="medium">
        <color indexed="64"/>
      </top>
      <bottom style="medium">
        <color indexed="64"/>
      </bottom>
      <diagonal/>
    </border>
    <border>
      <left/>
      <right style="medium">
        <color indexed="64"/>
      </right>
      <top/>
      <bottom style="double">
        <color indexed="64"/>
      </bottom>
      <diagonal/>
    </border>
    <border>
      <left/>
      <right/>
      <top style="thin">
        <color theme="1"/>
      </top>
      <bottom/>
      <diagonal/>
    </border>
  </borders>
  <cellStyleXfs count="2">
    <xf numFmtId="0" fontId="0" fillId="0" borderId="0"/>
    <xf numFmtId="0" fontId="3" fillId="0" borderId="0" applyNumberFormat="0" applyFill="0" applyBorder="0" applyAlignment="0" applyProtection="0"/>
  </cellStyleXfs>
  <cellXfs count="28">
    <xf numFmtId="0" fontId="0" fillId="0" borderId="0" xfId="0"/>
    <xf numFmtId="14" fontId="0" fillId="0" borderId="0" xfId="0" applyNumberFormat="1"/>
    <xf numFmtId="0" fontId="1" fillId="2" borderId="0" xfId="0" applyFont="1" applyFill="1"/>
    <xf numFmtId="0" fontId="0" fillId="0" borderId="0" xfId="0" applyAlignment="1">
      <alignment wrapText="1"/>
    </xf>
    <xf numFmtId="0" fontId="0" fillId="0" borderId="0" xfId="0" applyAlignment="1">
      <alignment horizontal="center"/>
    </xf>
    <xf numFmtId="0" fontId="3" fillId="0" borderId="0" xfId="1"/>
    <xf numFmtId="0" fontId="0" fillId="0" borderId="1" xfId="0" applyBorder="1"/>
    <xf numFmtId="0" fontId="2" fillId="0" borderId="2" xfId="0" applyFont="1" applyBorder="1" applyAlignment="1">
      <alignment horizontal="right"/>
    </xf>
    <xf numFmtId="0" fontId="1" fillId="3" borderId="3" xfId="0" applyFont="1" applyFill="1" applyBorder="1" applyAlignment="1">
      <alignment horizontal="center"/>
    </xf>
    <xf numFmtId="0" fontId="6" fillId="0" borderId="0" xfId="0" applyFont="1"/>
    <xf numFmtId="0" fontId="5" fillId="0" borderId="0" xfId="0" applyFont="1" applyAlignment="1">
      <alignment horizontal="center"/>
    </xf>
    <xf numFmtId="0" fontId="4" fillId="0" borderId="0" xfId="0" applyFont="1" applyAlignment="1">
      <alignment horizontal="center"/>
    </xf>
    <xf numFmtId="0" fontId="11" fillId="0" borderId="0" xfId="0" applyFont="1"/>
    <xf numFmtId="0" fontId="10" fillId="0" borderId="0" xfId="0" applyFont="1"/>
    <xf numFmtId="0" fontId="3" fillId="0" borderId="0" xfId="1" applyNumberFormat="1"/>
    <xf numFmtId="0" fontId="0" fillId="0" borderId="0" xfId="0" applyAlignment="1">
      <alignment horizontal="centerContinuous"/>
    </xf>
    <xf numFmtId="14" fontId="0" fillId="0" borderId="0" xfId="0" quotePrefix="1" applyNumberFormat="1"/>
    <xf numFmtId="0" fontId="0" fillId="0" borderId="3" xfId="0" applyBorder="1"/>
    <xf numFmtId="14" fontId="0" fillId="0" borderId="3" xfId="0" applyNumberFormat="1" applyBorder="1" applyAlignment="1">
      <alignment wrapText="1"/>
    </xf>
    <xf numFmtId="0" fontId="1" fillId="3" borderId="0" xfId="0" applyFont="1" applyFill="1" applyAlignment="1">
      <alignment wrapText="1"/>
    </xf>
    <xf numFmtId="0" fontId="1" fillId="3" borderId="0" xfId="0" applyFont="1" applyFill="1"/>
    <xf numFmtId="0" fontId="0" fillId="0" borderId="3" xfId="0" applyBorder="1" applyAlignment="1">
      <alignment wrapText="1"/>
    </xf>
    <xf numFmtId="14" fontId="2" fillId="0" borderId="0" xfId="0" applyNumberFormat="1" applyFont="1"/>
    <xf numFmtId="0" fontId="0" fillId="0" borderId="0" xfId="0" applyAlignment="1">
      <alignment horizontal="right"/>
    </xf>
    <xf numFmtId="0" fontId="13" fillId="0" borderId="0" xfId="0" applyFont="1"/>
    <xf numFmtId="0" fontId="15" fillId="0" borderId="0" xfId="0" applyFont="1"/>
    <xf numFmtId="0" fontId="16" fillId="0" borderId="0" xfId="0" applyFont="1"/>
    <xf numFmtId="0" fontId="17" fillId="0" borderId="0" xfId="1" applyFont="1"/>
  </cellXfs>
  <cellStyles count="2">
    <cellStyle name="Hyperlink" xfId="1" builtinId="8"/>
    <cellStyle name="Normal" xfId="0" builtinId="0"/>
  </cellStyles>
  <dxfs count="56">
    <dxf>
      <numFmt numFmtId="19" formatCode="dd/mm/yyyy"/>
    </dxf>
    <dxf>
      <numFmt numFmtId="19" formatCode="dd/mm/yyyy"/>
    </dxf>
    <dxf>
      <numFmt numFmtId="19" formatCode="dd/mm/yyyy"/>
    </dxf>
    <dxf>
      <numFmt numFmtId="19" formatCode="dd/mm/yyyy"/>
    </dxf>
    <dxf>
      <numFmt numFmtId="19" formatCode="dd/mm/yyyy"/>
    </dxf>
    <dxf>
      <numFmt numFmtId="19" formatCode="dd/mm/yyyy"/>
    </dxf>
    <dxf>
      <numFmt numFmtId="19" formatCode="dd/mm/yyyy"/>
    </dxf>
    <dxf>
      <numFmt numFmtId="19" formatCode="dd/mm/yyyy"/>
    </dxf>
    <dxf>
      <numFmt numFmtId="19" formatCode="dd/mm/yyyy"/>
    </dxf>
    <dxf>
      <numFmt numFmtId="19" formatCode="dd/mm/yyyy"/>
    </dxf>
    <dxf>
      <numFmt numFmtId="19" formatCode="dd/mm/yyyy"/>
    </dxf>
    <dxf>
      <numFmt numFmtId="0" formatCode="General"/>
    </dxf>
    <dxf>
      <numFmt numFmtId="19" formatCode="dd/mm/yyyy"/>
    </dxf>
    <dxf>
      <numFmt numFmtId="19" formatCode="dd/mm/yyyy"/>
    </dxf>
    <dxf>
      <alignment horizontal="general" vertical="bottom" textRotation="0" wrapText="1" indent="0" justifyLastLine="0" shrinkToFit="0" readingOrder="0"/>
    </dxf>
    <dxf>
      <numFmt numFmtId="19" formatCode="dd/mm/yyyy"/>
    </dxf>
    <dxf>
      <font>
        <b val="0"/>
        <i val="0"/>
        <strike val="0"/>
        <condense val="0"/>
        <extend val="0"/>
        <outline val="0"/>
        <shadow val="0"/>
        <u val="none"/>
        <vertAlign val="baseline"/>
        <sz val="11"/>
        <color theme="1"/>
        <name val="Aptos Narrow"/>
        <family val="2"/>
        <scheme val="minor"/>
      </font>
      <border diagonalUp="0" diagonalDown="0">
        <left/>
        <right/>
        <top style="thin">
          <color theme="1"/>
        </top>
        <bottom/>
        <vertical/>
        <horizontal/>
      </border>
    </dxf>
    <dxf>
      <font>
        <b val="0"/>
        <i val="0"/>
        <strike val="0"/>
        <condense val="0"/>
        <extend val="0"/>
        <outline val="0"/>
        <shadow val="0"/>
        <u val="none"/>
        <vertAlign val="baseline"/>
        <sz val="11"/>
        <color theme="1"/>
        <name val="Aptos Narrow"/>
        <family val="2"/>
        <scheme val="minor"/>
      </font>
      <border diagonalUp="0" diagonalDown="0">
        <left/>
        <right/>
        <top style="thin">
          <color theme="1"/>
        </top>
        <bottom/>
        <vertical/>
        <horizontal/>
      </border>
    </dxf>
    <dxf>
      <font>
        <b val="0"/>
        <i val="0"/>
        <strike val="0"/>
        <condense val="0"/>
        <extend val="0"/>
        <outline val="0"/>
        <shadow val="0"/>
        <u val="none"/>
        <vertAlign val="baseline"/>
        <sz val="11"/>
        <color theme="1"/>
        <name val="Aptos Narrow"/>
        <family val="2"/>
        <scheme val="minor"/>
      </font>
      <border diagonalUp="0" diagonalDown="0">
        <left/>
        <right/>
        <top style="thin">
          <color theme="1"/>
        </top>
        <bottom/>
        <vertical/>
        <horizontal/>
      </border>
    </dxf>
    <dxf>
      <font>
        <b val="0"/>
        <i val="0"/>
        <strike val="0"/>
        <condense val="0"/>
        <extend val="0"/>
        <outline val="0"/>
        <shadow val="0"/>
        <u val="none"/>
        <vertAlign val="baseline"/>
        <sz val="11"/>
        <color theme="1"/>
        <name val="Aptos Narrow"/>
        <family val="2"/>
        <scheme val="minor"/>
      </font>
      <border diagonalUp="0" diagonalDown="0">
        <left/>
        <right/>
        <top style="thin">
          <color theme="1"/>
        </top>
        <bottom/>
        <vertical/>
        <horizontal/>
      </border>
    </dxf>
    <dxf>
      <font>
        <b val="0"/>
        <i val="0"/>
        <strike val="0"/>
        <condense val="0"/>
        <extend val="0"/>
        <outline val="0"/>
        <shadow val="0"/>
        <u val="none"/>
        <vertAlign val="baseline"/>
        <sz val="11"/>
        <color theme="1"/>
        <name val="Aptos Narrow"/>
        <family val="2"/>
        <scheme val="minor"/>
      </font>
      <border diagonalUp="0" diagonalDown="0">
        <left/>
        <right/>
        <top style="thin">
          <color theme="1"/>
        </top>
        <bottom/>
        <vertical/>
        <horizontal/>
      </border>
    </dxf>
    <dxf>
      <font>
        <b val="0"/>
        <i val="0"/>
        <strike val="0"/>
        <condense val="0"/>
        <extend val="0"/>
        <outline val="0"/>
        <shadow val="0"/>
        <u val="none"/>
        <vertAlign val="baseline"/>
        <sz val="11"/>
        <color theme="1"/>
        <name val="Aptos Narrow"/>
        <family val="2"/>
        <scheme val="minor"/>
      </font>
      <border diagonalUp="0" diagonalDown="0">
        <left/>
        <right/>
        <top style="thin">
          <color theme="1"/>
        </top>
        <bottom/>
        <vertical/>
        <horizontal/>
      </border>
    </dxf>
    <dxf>
      <font>
        <b val="0"/>
        <i val="0"/>
        <strike val="0"/>
        <condense val="0"/>
        <extend val="0"/>
        <outline val="0"/>
        <shadow val="0"/>
        <u val="none"/>
        <vertAlign val="baseline"/>
        <sz val="11"/>
        <color theme="1"/>
        <name val="Aptos Narrow"/>
        <family val="2"/>
        <scheme val="minor"/>
      </font>
      <numFmt numFmtId="19" formatCode="dd/mm/yyyy"/>
      <alignment horizontal="general" vertical="bottom" textRotation="0" wrapText="1" indent="0" justifyLastLine="0" shrinkToFit="0" readingOrder="0"/>
      <border diagonalUp="0" diagonalDown="0">
        <left/>
        <right/>
        <top style="thin">
          <color theme="1"/>
        </top>
        <bottom/>
        <vertical/>
        <horizontal/>
      </border>
    </dxf>
    <dxf>
      <border outline="0">
        <left style="thin">
          <color theme="1"/>
        </left>
        <right style="thin">
          <color theme="1"/>
        </right>
        <top style="thin">
          <color theme="1"/>
        </top>
        <bottom style="thin">
          <color theme="1"/>
        </bottom>
      </border>
    </dxf>
    <dxf>
      <font>
        <b val="0"/>
        <i val="0"/>
        <strike val="0"/>
        <condense val="0"/>
        <extend val="0"/>
        <outline val="0"/>
        <shadow val="0"/>
        <u val="none"/>
        <vertAlign val="baseline"/>
        <sz val="11"/>
        <color theme="1"/>
        <name val="Aptos Narrow"/>
        <family val="2"/>
        <scheme val="minor"/>
      </font>
    </dxf>
    <dxf>
      <font>
        <b/>
        <i val="0"/>
        <strike val="0"/>
        <condense val="0"/>
        <extend val="0"/>
        <outline val="0"/>
        <shadow val="0"/>
        <u val="none"/>
        <vertAlign val="baseline"/>
        <sz val="11"/>
        <color theme="0"/>
        <name val="Aptos Narrow"/>
        <family val="2"/>
        <scheme val="minor"/>
      </font>
      <fill>
        <patternFill patternType="solid">
          <fgColor theme="1"/>
          <bgColor theme="1"/>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center" vertical="bottom" textRotation="0" wrapText="0" indent="0" justifyLastLine="0" shrinkToFit="0" readingOrder="0"/>
    </dxf>
  </dxfs>
  <tableStyles count="0" defaultTableStyle="TableStyleLight8" defaultPivotStyle="PivotStyleLight16"/>
  <colors>
    <mruColors>
      <color rgb="FF2C2671"/>
      <color rgb="FF00AC9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'MIS File'!$A$3</c:f>
          <c:strCache>
            <c:ptCount val="1"/>
            <c:pt idx="0">
              <c:v>Outstanding Discrepancy Report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rgbClr val="00AC9A"/>
              </a:solidFill>
              <a:effectLst/>
              <a:latin typeface="Lato Black" panose="020F0A02020204030203" pitchFamily="34" charset="0"/>
              <a:ea typeface="+mn-ea"/>
              <a:cs typeface="+mn-cs"/>
            </a:defRPr>
          </a:pPr>
          <a:endParaRPr lang="en-US"/>
        </a:p>
      </c:txPr>
    </c:title>
    <c:autoTitleDeleted val="0"/>
    <c:plotArea>
      <c:layout/>
      <c:barChart>
        <c:barDir val="col"/>
        <c:grouping val="clustered"/>
        <c:varyColors val="0"/>
        <c:ser>
          <c:idx val="0"/>
          <c:order val="0"/>
          <c:tx>
            <c:strRef>
              <c:f>'MIS File'!$C$4</c:f>
              <c:strCache>
                <c:ptCount val="1"/>
                <c:pt idx="0">
                  <c:v>Count</c:v>
                </c:pt>
              </c:strCache>
            </c:strRef>
          </c:tx>
          <c:spPr>
            <a:solidFill>
              <a:srgbClr val="2C2671"/>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800" b="0" i="0" u="none" strike="noStrike" kern="1200" baseline="0">
                    <a:solidFill>
                      <a:schemeClr val="tx1"/>
                    </a:solidFill>
                    <a:latin typeface="Lato Black" panose="020F0A02020204030203" pitchFamily="34"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'MIS File'!$A$5:$B$10</c:f>
              <c:multiLvlStrCache>
                <c:ptCount val="6"/>
                <c:lvl>
                  <c:pt idx="0">
                    <c:v>less than 60 days</c:v>
                  </c:pt>
                  <c:pt idx="1">
                    <c:v>More than 60 Days</c:v>
                  </c:pt>
                  <c:pt idx="2">
                    <c:v>less than 60 days</c:v>
                  </c:pt>
                  <c:pt idx="3">
                    <c:v>More than 60 Days</c:v>
                  </c:pt>
                  <c:pt idx="4">
                    <c:v>less than 60 days</c:v>
                  </c:pt>
                  <c:pt idx="5">
                    <c:v>More than 60 Days</c:v>
                  </c:pt>
                </c:lvl>
                <c:lvl>
                  <c:pt idx="0">
                    <c:v>RIYADH</c:v>
                  </c:pt>
                  <c:pt idx="2">
                    <c:v>JEDDAH</c:v>
                  </c:pt>
                  <c:pt idx="4">
                    <c:v>DAMMAM</c:v>
                  </c:pt>
                </c:lvl>
              </c:multiLvlStrCache>
            </c:multiLvlStrRef>
          </c:cat>
          <c:val>
            <c:numRef>
              <c:f>'MIS File'!$C$5:$C$10</c:f>
              <c:numCache>
                <c:formatCode>General</c:formatCode>
                <c:ptCount val="6"/>
                <c:pt idx="0">
                  <c:v>76</c:v>
                </c:pt>
                <c:pt idx="1">
                  <c:v>88</c:v>
                </c:pt>
                <c:pt idx="2">
                  <c:v>20</c:v>
                </c:pt>
                <c:pt idx="3">
                  <c:v>13</c:v>
                </c:pt>
                <c:pt idx="4">
                  <c:v>20</c:v>
                </c:pt>
                <c:pt idx="5">
                  <c:v>2</c:v>
                </c:pt>
              </c:numCache>
            </c:numRef>
          </c:val>
          <c:extLst>
            <c:ext xmlns:c16="http://schemas.microsoft.com/office/drawing/2014/chart" uri="{C3380CC4-5D6E-409C-BE32-E72D297353CC}">
              <c16:uniqueId val="{00000000-080F-4BB2-92C1-FD057EEBD0FF}"/>
            </c:ext>
          </c:extLst>
        </c:ser>
        <c:dLbls>
          <c:showLegendKey val="0"/>
          <c:showVal val="0"/>
          <c:showCatName val="0"/>
          <c:showSerName val="0"/>
          <c:showPercent val="0"/>
          <c:showBubbleSize val="0"/>
        </c:dLbls>
        <c:gapWidth val="219"/>
        <c:overlap val="-27"/>
        <c:axId val="19631600"/>
        <c:axId val="12482032"/>
      </c:barChart>
      <c:scatterChart>
        <c:scatterStyle val="lineMarker"/>
        <c:varyColors val="0"/>
        <c:ser>
          <c:idx val="1"/>
          <c:order val="1"/>
          <c:tx>
            <c:v>split</c:v>
          </c:tx>
          <c:spPr>
            <a:ln w="25400" cap="rnd">
              <a:noFill/>
              <a:round/>
            </a:ln>
            <a:effectLst/>
          </c:spPr>
          <c:marker>
            <c:symbol val="circle"/>
            <c:size val="5"/>
            <c:spPr>
              <a:noFill/>
              <a:ln w="9525">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noFill/>
                    <a:latin typeface="Lato" panose="020F0502020204030203" pitchFamily="34" charset="0"/>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errBars>
            <c:errDir val="y"/>
            <c:errBarType val="both"/>
            <c:errValType val="cust"/>
            <c:noEndCap val="1"/>
            <c:plus>
              <c:numRef>
                <c:f>'MIS File'!$G$5</c:f>
                <c:numCache>
                  <c:formatCode>General</c:formatCode>
                  <c:ptCount val="1"/>
                  <c:pt idx="0">
                    <c:v>88</c:v>
                  </c:pt>
                </c:numCache>
              </c:numRef>
            </c:plus>
            <c:minus>
              <c:numLit>
                <c:formatCode>General</c:formatCode>
                <c:ptCount val="1"/>
                <c:pt idx="0">
                  <c:v>1</c:v>
                </c:pt>
              </c:numLit>
            </c:minus>
            <c:spPr>
              <a:noFill/>
              <a:ln w="19050" cap="flat" cmpd="sng" algn="ctr">
                <a:solidFill>
                  <a:schemeClr val="bg2">
                    <a:lumMod val="90000"/>
                  </a:schemeClr>
                </a:solidFill>
                <a:round/>
              </a:ln>
              <a:effectLst/>
            </c:spPr>
          </c:errBars>
          <c:xVal>
            <c:numRef>
              <c:f>'MIS File'!$E$5:$E$6</c:f>
              <c:numCache>
                <c:formatCode>General</c:formatCode>
                <c:ptCount val="2"/>
                <c:pt idx="0">
                  <c:v>2.5</c:v>
                </c:pt>
                <c:pt idx="1">
                  <c:v>4.5</c:v>
                </c:pt>
              </c:numCache>
            </c:numRef>
          </c:xVal>
          <c:yVal>
            <c:numRef>
              <c:f>'MIS File'!$F$5:$F$6</c:f>
              <c:numCache>
                <c:formatCode>General</c:formatCode>
                <c:ptCount val="2"/>
                <c:pt idx="0">
                  <c:v>0</c:v>
                </c:pt>
                <c:pt idx="1">
                  <c:v>0</c:v>
                </c:pt>
              </c:numCache>
            </c:numRef>
          </c:yVal>
          <c:smooth val="0"/>
          <c:extLst>
            <c:ext xmlns:c16="http://schemas.microsoft.com/office/drawing/2014/chart" uri="{C3380CC4-5D6E-409C-BE32-E72D297353CC}">
              <c16:uniqueId val="{00000001-080F-4BB2-92C1-FD057EEBD0FF}"/>
            </c:ext>
          </c:extLst>
        </c:ser>
        <c:dLbls>
          <c:showLegendKey val="0"/>
          <c:showVal val="0"/>
          <c:showCatName val="0"/>
          <c:showSerName val="0"/>
          <c:showPercent val="0"/>
          <c:showBubbleSize val="0"/>
        </c:dLbls>
        <c:axId val="19631600"/>
        <c:axId val="12482032"/>
      </c:scatterChart>
      <c:catAx>
        <c:axId val="19631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Lato Black" panose="020F0A02020204030203" pitchFamily="34" charset="0"/>
                <a:ea typeface="+mn-ea"/>
                <a:cs typeface="+mn-cs"/>
              </a:defRPr>
            </a:pPr>
            <a:endParaRPr lang="en-US"/>
          </a:p>
        </c:txPr>
        <c:crossAx val="12482032"/>
        <c:crosses val="autoZero"/>
        <c:auto val="1"/>
        <c:lblAlgn val="ctr"/>
        <c:lblOffset val="100"/>
        <c:noMultiLvlLbl val="0"/>
      </c:catAx>
      <c:valAx>
        <c:axId val="12482032"/>
        <c:scaling>
          <c:orientation val="minMax"/>
        </c:scaling>
        <c:delete val="1"/>
        <c:axPos val="l"/>
        <c:numFmt formatCode="General" sourceLinked="1"/>
        <c:majorTickMark val="none"/>
        <c:minorTickMark val="none"/>
        <c:tickLblPos val="nextTo"/>
        <c:crossAx val="19631600"/>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lgn="ctr" rtl="0">
            <a:defRPr lang="en-US" sz="1100" b="0" i="0" u="none" strike="noStrike" kern="1200" spc="0" baseline="0">
              <a:solidFill>
                <a:srgbClr val="00AC9A"/>
              </a:solidFill>
              <a:effectLst/>
              <a:latin typeface="Lato Black" panose="020F0A02020204030203" pitchFamily="34" charset="0"/>
              <a:ea typeface="+mn-ea"/>
              <a:cs typeface="+mn-cs"/>
            </a:defRPr>
          </a:pPr>
          <a:endParaRPr lang="en-US"/>
        </a:p>
      </c:txPr>
    </c:title>
    <c:autoTitleDeleted val="0"/>
    <c:plotArea>
      <c:layout/>
      <c:lineChart>
        <c:grouping val="standard"/>
        <c:varyColors val="0"/>
        <c:ser>
          <c:idx val="0"/>
          <c:order val="0"/>
          <c:tx>
            <c:strRef>
              <c:f>'MIS File'!$M$2</c:f>
              <c:strCache>
                <c:ptCount val="1"/>
                <c:pt idx="0">
                  <c:v>Riy-LT 60 Days</c:v>
                </c:pt>
              </c:strCache>
            </c:strRef>
          </c:tx>
          <c:spPr>
            <a:ln w="28575" cap="rnd">
              <a:solidFill>
                <a:schemeClr val="accent1"/>
              </a:solidFill>
              <a:round/>
            </a:ln>
            <a:effectLst>
              <a:outerShdw blurRad="50800" dist="38100" dir="2700000" algn="tl" rotWithShape="0">
                <a:prstClr val="black">
                  <a:alpha val="40000"/>
                </a:prstClr>
              </a:outerShdw>
            </a:effectLst>
          </c:spPr>
          <c:marker>
            <c:symbol val="none"/>
          </c:marker>
          <c:dLbls>
            <c:spPr>
              <a:noFill/>
              <a:ln>
                <a:noFill/>
              </a:ln>
              <a:effectLst/>
            </c:spPr>
            <c:txPr>
              <a:bodyPr rot="0" spcFirstLastPara="1" vertOverflow="ellipsis" vert="horz" wrap="square" lIns="38100" tIns="19050" rIns="38100" bIns="19050" anchor="ctr" anchorCtr="0">
                <a:spAutoFit/>
              </a:bodyPr>
              <a:lstStyle/>
              <a:p>
                <a:pPr algn="ctr">
                  <a:defRPr lang="en-US" sz="800" b="0" i="0" u="none" strike="noStrike" kern="1200" baseline="0">
                    <a:solidFill>
                      <a:schemeClr val="tx1"/>
                    </a:solidFill>
                    <a:latin typeface="Lato Black" panose="020F0A02020204030203" pitchFamily="34" charset="0"/>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[0]!mydate</c:f>
              <c:numCache>
                <c:formatCode>m/d/yyyy</c:formatCode>
                <c:ptCount val="4"/>
                <c:pt idx="0">
                  <c:v>45295</c:v>
                </c:pt>
                <c:pt idx="1">
                  <c:v>45298</c:v>
                </c:pt>
                <c:pt idx="2">
                  <c:v>45299</c:v>
                </c:pt>
                <c:pt idx="3">
                  <c:v>45300</c:v>
                </c:pt>
              </c:numCache>
            </c:numRef>
          </c:cat>
          <c:val>
            <c:numRef>
              <c:f>'MIS File'!$M$3:$M$8</c:f>
              <c:numCache>
                <c:formatCode>General</c:formatCode>
                <c:ptCount val="6"/>
                <c:pt idx="0">
                  <c:v>82</c:v>
                </c:pt>
                <c:pt idx="1">
                  <c:v>85</c:v>
                </c:pt>
                <c:pt idx="2">
                  <c:v>75</c:v>
                </c:pt>
                <c:pt idx="3">
                  <c:v>78</c:v>
                </c:pt>
                <c:pt idx="4">
                  <c:v>86</c:v>
                </c:pt>
                <c:pt idx="5">
                  <c:v>86</c:v>
                </c:pt>
              </c:numCache>
            </c:numRef>
          </c:val>
          <c:smooth val="0"/>
          <c:extLst>
            <c:ext xmlns:c16="http://schemas.microsoft.com/office/drawing/2014/chart" uri="{C3380CC4-5D6E-409C-BE32-E72D297353CC}">
              <c16:uniqueId val="{00000000-F7D5-4458-913A-69D4F7DB71D9}"/>
            </c:ext>
          </c:extLst>
        </c:ser>
        <c:dLbls>
          <c:showLegendKey val="0"/>
          <c:showVal val="1"/>
          <c:showCatName val="0"/>
          <c:showSerName val="0"/>
          <c:showPercent val="0"/>
          <c:showBubbleSize val="0"/>
        </c:dLbls>
        <c:smooth val="0"/>
        <c:axId val="678129711"/>
        <c:axId val="308631007"/>
      </c:lineChart>
      <c:dateAx>
        <c:axId val="678129711"/>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800" b="0" i="0" u="none" strike="noStrike" kern="1200" baseline="0">
                <a:solidFill>
                  <a:schemeClr val="tx1"/>
                </a:solidFill>
                <a:latin typeface="Lato Black" panose="020F0A02020204030203" pitchFamily="34" charset="0"/>
                <a:ea typeface="+mn-ea"/>
                <a:cs typeface="+mn-cs"/>
              </a:defRPr>
            </a:pPr>
            <a:endParaRPr lang="en-US"/>
          </a:p>
        </c:txPr>
        <c:crossAx val="308631007"/>
        <c:crosses val="autoZero"/>
        <c:auto val="1"/>
        <c:lblOffset val="100"/>
        <c:baseTimeUnit val="days"/>
      </c:dateAx>
      <c:valAx>
        <c:axId val="30863100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12971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lgn="ctr" rtl="0">
            <a:defRPr lang="en-US" sz="1100" b="0" i="0" u="none" strike="noStrike" kern="1200" spc="0" baseline="0">
              <a:solidFill>
                <a:srgbClr val="2C2671"/>
              </a:solidFill>
              <a:effectLst/>
              <a:latin typeface="Lato Black" panose="020F0A02020204030203" pitchFamily="34" charset="0"/>
              <a:ea typeface="+mn-ea"/>
              <a:cs typeface="+mn-cs"/>
            </a:defRPr>
          </a:pPr>
          <a:endParaRPr lang="en-US"/>
        </a:p>
      </c:txPr>
    </c:title>
    <c:autoTitleDeleted val="0"/>
    <c:plotArea>
      <c:layout/>
      <c:lineChart>
        <c:grouping val="standard"/>
        <c:varyColors val="0"/>
        <c:ser>
          <c:idx val="1"/>
          <c:order val="0"/>
          <c:tx>
            <c:strRef>
              <c:f>'MIS File'!$N$2</c:f>
              <c:strCache>
                <c:ptCount val="1"/>
                <c:pt idx="0">
                  <c:v>Riy-MT 60 Days</c:v>
                </c:pt>
              </c:strCache>
            </c:strRef>
          </c:tx>
          <c:spPr>
            <a:ln w="28575" cap="rnd">
              <a:solidFill>
                <a:schemeClr val="accent2"/>
              </a:solidFill>
              <a:round/>
            </a:ln>
            <a:effectLst>
              <a:outerShdw blurRad="50800" dist="38100" dir="2700000" algn="tl" rotWithShape="0">
                <a:prstClr val="black">
                  <a:alpha val="40000"/>
                </a:prstClr>
              </a:outerShdw>
            </a:effectLst>
          </c:spPr>
          <c:marker>
            <c:symbol val="none"/>
          </c:marker>
          <c:dLbls>
            <c:spPr>
              <a:noFill/>
              <a:ln>
                <a:noFill/>
              </a:ln>
              <a:effectLst/>
            </c:spPr>
            <c:txPr>
              <a:bodyPr rot="0" spcFirstLastPara="1" vertOverflow="ellipsis" vert="horz" wrap="square" lIns="38100" tIns="19050" rIns="38100" bIns="19050" anchor="ctr" anchorCtr="0">
                <a:spAutoFit/>
              </a:bodyPr>
              <a:lstStyle/>
              <a:p>
                <a:pPr algn="ctr">
                  <a:defRPr lang="en-US" sz="800" b="0" i="0" u="none" strike="noStrike" kern="1200" baseline="0">
                    <a:solidFill>
                      <a:schemeClr val="tx1"/>
                    </a:solidFill>
                    <a:latin typeface="Lato Black" panose="020F0A02020204030203" pitchFamily="34" charset="0"/>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[0]!mydate</c:f>
              <c:numCache>
                <c:formatCode>m/d/yyyy</c:formatCode>
                <c:ptCount val="4"/>
                <c:pt idx="0">
                  <c:v>45295</c:v>
                </c:pt>
                <c:pt idx="1">
                  <c:v>45298</c:v>
                </c:pt>
                <c:pt idx="2">
                  <c:v>45299</c:v>
                </c:pt>
                <c:pt idx="3">
                  <c:v>45300</c:v>
                </c:pt>
              </c:numCache>
            </c:numRef>
          </c:cat>
          <c:val>
            <c:numRef>
              <c:f>'MIS File'!$N$3:$N$8</c:f>
              <c:numCache>
                <c:formatCode>General</c:formatCode>
                <c:ptCount val="6"/>
                <c:pt idx="0">
                  <c:v>55</c:v>
                </c:pt>
                <c:pt idx="1">
                  <c:v>56</c:v>
                </c:pt>
                <c:pt idx="2">
                  <c:v>57</c:v>
                </c:pt>
                <c:pt idx="3">
                  <c:v>58</c:v>
                </c:pt>
                <c:pt idx="4">
                  <c:v>58</c:v>
                </c:pt>
                <c:pt idx="5">
                  <c:v>58</c:v>
                </c:pt>
              </c:numCache>
            </c:numRef>
          </c:val>
          <c:smooth val="0"/>
          <c:extLst>
            <c:ext xmlns:c16="http://schemas.microsoft.com/office/drawing/2014/chart" uri="{C3380CC4-5D6E-409C-BE32-E72D297353CC}">
              <c16:uniqueId val="{00000000-E985-448E-A0A7-0C319549CB73}"/>
            </c:ext>
          </c:extLst>
        </c:ser>
        <c:dLbls>
          <c:dLblPos val="t"/>
          <c:showLegendKey val="0"/>
          <c:showVal val="1"/>
          <c:showCatName val="0"/>
          <c:showSerName val="0"/>
          <c:showPercent val="0"/>
          <c:showBubbleSize val="0"/>
        </c:dLbls>
        <c:smooth val="0"/>
        <c:axId val="678115311"/>
        <c:axId val="676250815"/>
      </c:lineChart>
      <c:dateAx>
        <c:axId val="678115311"/>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800" b="0" i="0" u="none" strike="noStrike" kern="1200" baseline="0">
                <a:solidFill>
                  <a:schemeClr val="tx1"/>
                </a:solidFill>
                <a:latin typeface="Lato Black" panose="020F0A02020204030203" pitchFamily="34" charset="0"/>
                <a:ea typeface="+mn-ea"/>
                <a:cs typeface="+mn-cs"/>
              </a:defRPr>
            </a:pPr>
            <a:endParaRPr lang="en-US"/>
          </a:p>
        </c:txPr>
        <c:crossAx val="676250815"/>
        <c:crosses val="autoZero"/>
        <c:auto val="1"/>
        <c:lblOffset val="100"/>
        <c:baseTimeUnit val="days"/>
      </c:dateAx>
      <c:valAx>
        <c:axId val="676250815"/>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11531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lgn="ctr" rtl="0">
            <a:defRPr lang="en-US" sz="1100" b="0" i="0" u="none" strike="noStrike" kern="1200" spc="0" baseline="0">
              <a:solidFill>
                <a:srgbClr val="00AC9A"/>
              </a:solidFill>
              <a:effectLst/>
              <a:latin typeface="Lato Black" panose="020F0A02020204030203" pitchFamily="34" charset="0"/>
              <a:ea typeface="+mn-ea"/>
              <a:cs typeface="+mn-cs"/>
            </a:defRPr>
          </a:pPr>
          <a:endParaRPr lang="en-US"/>
        </a:p>
      </c:txPr>
    </c:title>
    <c:autoTitleDeleted val="0"/>
    <c:plotArea>
      <c:layout/>
      <c:lineChart>
        <c:grouping val="standard"/>
        <c:varyColors val="0"/>
        <c:ser>
          <c:idx val="2"/>
          <c:order val="0"/>
          <c:tx>
            <c:strRef>
              <c:f>'MIS File'!$O$2</c:f>
              <c:strCache>
                <c:ptCount val="1"/>
                <c:pt idx="0">
                  <c:v>Jed-LT 60 Days</c:v>
                </c:pt>
              </c:strCache>
            </c:strRef>
          </c:tx>
          <c:spPr>
            <a:ln w="28575" cap="rnd">
              <a:solidFill>
                <a:schemeClr val="accent3"/>
              </a:solidFill>
              <a:round/>
            </a:ln>
            <a:effectLst>
              <a:outerShdw blurRad="50800" dist="38100" dir="2700000" algn="tl" rotWithShape="0">
                <a:prstClr val="black">
                  <a:alpha val="40000"/>
                </a:prstClr>
              </a:outerShdw>
            </a:effectLst>
          </c:spPr>
          <c:marker>
            <c:symbol val="none"/>
          </c:marker>
          <c:dLbls>
            <c:spPr>
              <a:noFill/>
              <a:ln>
                <a:noFill/>
              </a:ln>
              <a:effectLst/>
            </c:spPr>
            <c:txPr>
              <a:bodyPr rot="0" spcFirstLastPara="1" vertOverflow="ellipsis" vert="horz" wrap="square" lIns="38100" tIns="19050" rIns="38100" bIns="19050" anchor="ctr" anchorCtr="0">
                <a:spAutoFit/>
              </a:bodyPr>
              <a:lstStyle/>
              <a:p>
                <a:pPr algn="ctr">
                  <a:defRPr lang="en-US" sz="800" b="0" i="0" u="none" strike="noStrike" kern="1200" baseline="0">
                    <a:solidFill>
                      <a:schemeClr val="tx1"/>
                    </a:solidFill>
                    <a:latin typeface="Lato Black" panose="020F0A02020204030203" pitchFamily="34" charset="0"/>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[0]!mydate</c:f>
              <c:numCache>
                <c:formatCode>m/d/yyyy</c:formatCode>
                <c:ptCount val="4"/>
                <c:pt idx="0">
                  <c:v>45295</c:v>
                </c:pt>
                <c:pt idx="1">
                  <c:v>45298</c:v>
                </c:pt>
                <c:pt idx="2">
                  <c:v>45299</c:v>
                </c:pt>
                <c:pt idx="3">
                  <c:v>45300</c:v>
                </c:pt>
              </c:numCache>
            </c:numRef>
          </c:cat>
          <c:val>
            <c:numRef>
              <c:f>'MIS File'!$O$3:$O$8</c:f>
              <c:numCache>
                <c:formatCode>General</c:formatCode>
                <c:ptCount val="6"/>
                <c:pt idx="0">
                  <c:v>43</c:v>
                </c:pt>
                <c:pt idx="1">
                  <c:v>34</c:v>
                </c:pt>
                <c:pt idx="2">
                  <c:v>28</c:v>
                </c:pt>
                <c:pt idx="3">
                  <c:v>28</c:v>
                </c:pt>
                <c:pt idx="4">
                  <c:v>23</c:v>
                </c:pt>
                <c:pt idx="5">
                  <c:v>23</c:v>
                </c:pt>
              </c:numCache>
            </c:numRef>
          </c:val>
          <c:smooth val="0"/>
          <c:extLst>
            <c:ext xmlns:c16="http://schemas.microsoft.com/office/drawing/2014/chart" uri="{C3380CC4-5D6E-409C-BE32-E72D297353CC}">
              <c16:uniqueId val="{00000000-F3FD-4D44-88BC-890F0E646DBB}"/>
            </c:ext>
          </c:extLst>
        </c:ser>
        <c:dLbls>
          <c:showLegendKey val="0"/>
          <c:showVal val="1"/>
          <c:showCatName val="0"/>
          <c:showSerName val="0"/>
          <c:showPercent val="0"/>
          <c:showBubbleSize val="0"/>
        </c:dLbls>
        <c:smooth val="0"/>
        <c:axId val="745990255"/>
        <c:axId val="313151375"/>
      </c:lineChart>
      <c:dateAx>
        <c:axId val="745990255"/>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800" b="0" i="0" u="none" strike="noStrike" kern="1200" baseline="0">
                <a:solidFill>
                  <a:schemeClr val="tx1"/>
                </a:solidFill>
                <a:latin typeface="Lato Black" panose="020F0A02020204030203" pitchFamily="34" charset="0"/>
                <a:ea typeface="+mn-ea"/>
                <a:cs typeface="+mn-cs"/>
              </a:defRPr>
            </a:pPr>
            <a:endParaRPr lang="en-US"/>
          </a:p>
        </c:txPr>
        <c:crossAx val="313151375"/>
        <c:crosses val="autoZero"/>
        <c:auto val="1"/>
        <c:lblOffset val="100"/>
        <c:baseTimeUnit val="days"/>
      </c:dateAx>
      <c:valAx>
        <c:axId val="313151375"/>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599025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lgn="ctr" rtl="0">
            <a:defRPr lang="en-US" sz="1100" b="0" i="0" u="none" strike="noStrike" kern="1200" spc="0" baseline="0">
              <a:solidFill>
                <a:srgbClr val="2C2671"/>
              </a:solidFill>
              <a:effectLst/>
              <a:latin typeface="Lato Black" panose="020F0A02020204030203" pitchFamily="34" charset="0"/>
              <a:ea typeface="+mn-ea"/>
              <a:cs typeface="+mn-cs"/>
            </a:defRPr>
          </a:pPr>
          <a:endParaRPr lang="en-US"/>
        </a:p>
      </c:txPr>
    </c:title>
    <c:autoTitleDeleted val="0"/>
    <c:plotArea>
      <c:layout/>
      <c:lineChart>
        <c:grouping val="standard"/>
        <c:varyColors val="0"/>
        <c:ser>
          <c:idx val="0"/>
          <c:order val="0"/>
          <c:tx>
            <c:strRef>
              <c:f>'MIS File'!$P$2</c:f>
              <c:strCache>
                <c:ptCount val="1"/>
                <c:pt idx="0">
                  <c:v>Jed-MT 60 Days</c:v>
                </c:pt>
              </c:strCache>
            </c:strRef>
          </c:tx>
          <c:spPr>
            <a:ln w="28575" cap="rnd">
              <a:solidFill>
                <a:schemeClr val="accent1"/>
              </a:solidFill>
              <a:round/>
            </a:ln>
            <a:effectLst>
              <a:outerShdw blurRad="50800" dist="38100" dir="2700000" algn="tl" rotWithShape="0">
                <a:prstClr val="black">
                  <a:alpha val="40000"/>
                </a:prstClr>
              </a:outerShdw>
            </a:effectLst>
          </c:spPr>
          <c:marker>
            <c:symbol val="none"/>
          </c:marker>
          <c:dLbls>
            <c:spPr>
              <a:noFill/>
              <a:ln>
                <a:noFill/>
              </a:ln>
              <a:effectLst/>
            </c:spPr>
            <c:txPr>
              <a:bodyPr rot="0" spcFirstLastPara="1" vertOverflow="ellipsis" vert="horz" wrap="square" lIns="38100" tIns="19050" rIns="38100" bIns="19050" anchor="ctr" anchorCtr="0">
                <a:spAutoFit/>
              </a:bodyPr>
              <a:lstStyle/>
              <a:p>
                <a:pPr algn="ctr">
                  <a:defRPr lang="en-US" sz="800" b="0" i="0" u="none" strike="noStrike" kern="1200" baseline="0">
                    <a:solidFill>
                      <a:schemeClr val="tx1"/>
                    </a:solidFill>
                    <a:latin typeface="Lato Black" panose="020F0A02020204030203" pitchFamily="34" charset="0"/>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[0]!mydate</c:f>
              <c:numCache>
                <c:formatCode>m/d/yyyy</c:formatCode>
                <c:ptCount val="4"/>
                <c:pt idx="0">
                  <c:v>45295</c:v>
                </c:pt>
                <c:pt idx="1">
                  <c:v>45298</c:v>
                </c:pt>
                <c:pt idx="2">
                  <c:v>45299</c:v>
                </c:pt>
                <c:pt idx="3">
                  <c:v>45300</c:v>
                </c:pt>
              </c:numCache>
            </c:numRef>
          </c:cat>
          <c:val>
            <c:numRef>
              <c:f>'MIS File'!$P$3:$P$8</c:f>
              <c:numCache>
                <c:formatCode>General</c:formatCode>
                <c:ptCount val="6"/>
                <c:pt idx="0">
                  <c:v>5</c:v>
                </c:pt>
                <c:pt idx="1">
                  <c:v>6</c:v>
                </c:pt>
                <c:pt idx="2">
                  <c:v>10</c:v>
                </c:pt>
                <c:pt idx="3">
                  <c:v>10</c:v>
                </c:pt>
                <c:pt idx="4">
                  <c:v>10</c:v>
                </c:pt>
                <c:pt idx="5">
                  <c:v>10</c:v>
                </c:pt>
              </c:numCache>
            </c:numRef>
          </c:val>
          <c:smooth val="0"/>
          <c:extLst>
            <c:ext xmlns:c16="http://schemas.microsoft.com/office/drawing/2014/chart" uri="{C3380CC4-5D6E-409C-BE32-E72D297353CC}">
              <c16:uniqueId val="{00000000-DB96-4807-9765-4AC56A6937C7}"/>
            </c:ext>
          </c:extLst>
        </c:ser>
        <c:dLbls>
          <c:showLegendKey val="0"/>
          <c:showVal val="1"/>
          <c:showCatName val="0"/>
          <c:showSerName val="0"/>
          <c:showPercent val="0"/>
          <c:showBubbleSize val="0"/>
        </c:dLbls>
        <c:smooth val="0"/>
        <c:axId val="745984975"/>
        <c:axId val="841183504"/>
      </c:lineChart>
      <c:dateAx>
        <c:axId val="745984975"/>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800" b="0" i="0" u="none" strike="noStrike" kern="1200" baseline="0">
                <a:solidFill>
                  <a:schemeClr val="tx1"/>
                </a:solidFill>
                <a:latin typeface="Lato Black" panose="020F0A02020204030203" pitchFamily="34" charset="0"/>
                <a:ea typeface="+mn-ea"/>
                <a:cs typeface="+mn-cs"/>
              </a:defRPr>
            </a:pPr>
            <a:endParaRPr lang="en-US"/>
          </a:p>
        </c:txPr>
        <c:crossAx val="841183504"/>
        <c:crosses val="autoZero"/>
        <c:auto val="1"/>
        <c:lblOffset val="100"/>
        <c:baseTimeUnit val="days"/>
      </c:dateAx>
      <c:valAx>
        <c:axId val="84118350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59849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lgn="ctr" rtl="0">
            <a:defRPr lang="en-US" sz="1100" b="0" i="0" u="none" strike="noStrike" kern="1200" spc="0" baseline="0">
              <a:solidFill>
                <a:srgbClr val="00AC9A"/>
              </a:solidFill>
              <a:effectLst/>
              <a:latin typeface="Lato Black" panose="020F0A02020204030203" pitchFamily="34" charset="0"/>
              <a:ea typeface="+mn-ea"/>
              <a:cs typeface="+mn-cs"/>
            </a:defRPr>
          </a:pPr>
          <a:endParaRPr lang="en-US"/>
        </a:p>
      </c:txPr>
    </c:title>
    <c:autoTitleDeleted val="0"/>
    <c:plotArea>
      <c:layout/>
      <c:lineChart>
        <c:grouping val="standard"/>
        <c:varyColors val="0"/>
        <c:ser>
          <c:idx val="4"/>
          <c:order val="0"/>
          <c:tx>
            <c:strRef>
              <c:f>'MIS File'!$Q$2</c:f>
              <c:strCache>
                <c:ptCount val="1"/>
                <c:pt idx="0">
                  <c:v>Dam-LT 60 Days</c:v>
                </c:pt>
              </c:strCache>
            </c:strRef>
          </c:tx>
          <c:spPr>
            <a:ln w="28575" cap="rnd">
              <a:solidFill>
                <a:schemeClr val="accent5"/>
              </a:solidFill>
              <a:round/>
            </a:ln>
            <a:effectLst>
              <a:outerShdw blurRad="50800" dist="38100" dir="2700000" algn="tl" rotWithShape="0">
                <a:prstClr val="black">
                  <a:alpha val="40000"/>
                </a:prstClr>
              </a:outerShdw>
            </a:effectLst>
          </c:spPr>
          <c:marker>
            <c:symbol val="none"/>
          </c:marker>
          <c:dLbls>
            <c:spPr>
              <a:noFill/>
              <a:ln>
                <a:noFill/>
              </a:ln>
              <a:effectLst/>
            </c:spPr>
            <c:txPr>
              <a:bodyPr rot="0" spcFirstLastPara="1" vertOverflow="ellipsis" vert="horz" wrap="square" lIns="38100" tIns="19050" rIns="38100" bIns="19050" anchor="ctr" anchorCtr="0">
                <a:spAutoFit/>
              </a:bodyPr>
              <a:lstStyle/>
              <a:p>
                <a:pPr algn="ctr">
                  <a:defRPr lang="en-US" sz="800" b="0" i="0" u="none" strike="noStrike" kern="1200" baseline="0">
                    <a:solidFill>
                      <a:schemeClr val="tx1"/>
                    </a:solidFill>
                    <a:latin typeface="Lato Black" panose="020F0A02020204030203" pitchFamily="34" charset="0"/>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[0]!mydate</c:f>
              <c:numCache>
                <c:formatCode>m/d/yyyy</c:formatCode>
                <c:ptCount val="4"/>
                <c:pt idx="0">
                  <c:v>45295</c:v>
                </c:pt>
                <c:pt idx="1">
                  <c:v>45298</c:v>
                </c:pt>
                <c:pt idx="2">
                  <c:v>45299</c:v>
                </c:pt>
                <c:pt idx="3">
                  <c:v>45300</c:v>
                </c:pt>
              </c:numCache>
            </c:numRef>
          </c:cat>
          <c:val>
            <c:numRef>
              <c:f>'MIS File'!$Q$3:$Q$8</c:f>
              <c:numCache>
                <c:formatCode>General</c:formatCode>
                <c:ptCount val="6"/>
                <c:pt idx="0">
                  <c:v>19</c:v>
                </c:pt>
                <c:pt idx="1">
                  <c:v>19</c:v>
                </c:pt>
                <c:pt idx="2">
                  <c:v>23</c:v>
                </c:pt>
                <c:pt idx="3">
                  <c:v>24</c:v>
                </c:pt>
                <c:pt idx="4">
                  <c:v>23</c:v>
                </c:pt>
                <c:pt idx="5">
                  <c:v>23</c:v>
                </c:pt>
              </c:numCache>
            </c:numRef>
          </c:val>
          <c:smooth val="0"/>
          <c:extLst>
            <c:ext xmlns:c16="http://schemas.microsoft.com/office/drawing/2014/chart" uri="{C3380CC4-5D6E-409C-BE32-E72D297353CC}">
              <c16:uniqueId val="{00000000-781C-4F75-9675-7C4DBC87C932}"/>
            </c:ext>
          </c:extLst>
        </c:ser>
        <c:dLbls>
          <c:dLblPos val="t"/>
          <c:showLegendKey val="0"/>
          <c:showVal val="1"/>
          <c:showCatName val="0"/>
          <c:showSerName val="0"/>
          <c:showPercent val="0"/>
          <c:showBubbleSize val="0"/>
        </c:dLbls>
        <c:smooth val="0"/>
        <c:axId val="586197472"/>
        <c:axId val="704723503"/>
      </c:lineChart>
      <c:dateAx>
        <c:axId val="58619747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800" b="0" i="0" u="none" strike="noStrike" kern="1200" baseline="0">
                <a:solidFill>
                  <a:schemeClr val="tx1"/>
                </a:solidFill>
                <a:latin typeface="Lato Black" panose="020F0A02020204030203" pitchFamily="34" charset="0"/>
                <a:ea typeface="+mn-ea"/>
                <a:cs typeface="+mn-cs"/>
              </a:defRPr>
            </a:pPr>
            <a:endParaRPr lang="en-US"/>
          </a:p>
        </c:txPr>
        <c:crossAx val="704723503"/>
        <c:crosses val="autoZero"/>
        <c:auto val="1"/>
        <c:lblOffset val="100"/>
        <c:baseTimeUnit val="days"/>
      </c:dateAx>
      <c:valAx>
        <c:axId val="704723503"/>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61974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lgn="ctr" rtl="0">
            <a:defRPr lang="en-US" sz="1100" b="0" i="0" u="none" strike="noStrike" kern="1200" spc="0" baseline="0">
              <a:solidFill>
                <a:srgbClr val="2C2671"/>
              </a:solidFill>
              <a:effectLst/>
              <a:latin typeface="Lato Black" panose="020F0A02020204030203" pitchFamily="34" charset="0"/>
              <a:ea typeface="+mn-ea"/>
              <a:cs typeface="+mn-cs"/>
            </a:defRPr>
          </a:pPr>
          <a:endParaRPr lang="en-US"/>
        </a:p>
      </c:txPr>
    </c:title>
    <c:autoTitleDeleted val="0"/>
    <c:plotArea>
      <c:layout/>
      <c:lineChart>
        <c:grouping val="standard"/>
        <c:varyColors val="0"/>
        <c:ser>
          <c:idx val="5"/>
          <c:order val="0"/>
          <c:tx>
            <c:strRef>
              <c:f>'MIS File'!$R$2</c:f>
              <c:strCache>
                <c:ptCount val="1"/>
                <c:pt idx="0">
                  <c:v>Dam-MT 60 Days</c:v>
                </c:pt>
              </c:strCache>
            </c:strRef>
          </c:tx>
          <c:spPr>
            <a:ln w="28575" cap="rnd">
              <a:solidFill>
                <a:schemeClr val="accent6"/>
              </a:solidFill>
              <a:round/>
            </a:ln>
            <a:effectLst>
              <a:outerShdw blurRad="50800" dist="38100" dir="2700000" algn="tl" rotWithShape="0">
                <a:prstClr val="black">
                  <a:alpha val="40000"/>
                </a:prstClr>
              </a:outerShdw>
            </a:effectLst>
          </c:spPr>
          <c:marker>
            <c:symbol val="none"/>
          </c:marker>
          <c:dLbls>
            <c:spPr>
              <a:noFill/>
              <a:ln>
                <a:noFill/>
              </a:ln>
              <a:effectLst/>
            </c:spPr>
            <c:txPr>
              <a:bodyPr rot="0" spcFirstLastPara="1" vertOverflow="ellipsis" vert="horz" wrap="square" lIns="38100" tIns="19050" rIns="38100" bIns="19050" anchor="ctr" anchorCtr="0">
                <a:spAutoFit/>
              </a:bodyPr>
              <a:lstStyle/>
              <a:p>
                <a:pPr algn="ctr">
                  <a:defRPr lang="en-US" sz="800" b="0" i="0" u="none" strike="noStrike" kern="1200" baseline="0">
                    <a:solidFill>
                      <a:schemeClr val="tx1"/>
                    </a:solidFill>
                    <a:latin typeface="Lato Black" panose="020F0A02020204030203" pitchFamily="34" charset="0"/>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[0]!mydate</c:f>
              <c:numCache>
                <c:formatCode>m/d/yyyy</c:formatCode>
                <c:ptCount val="4"/>
                <c:pt idx="0">
                  <c:v>45295</c:v>
                </c:pt>
                <c:pt idx="1">
                  <c:v>45298</c:v>
                </c:pt>
                <c:pt idx="2">
                  <c:v>45299</c:v>
                </c:pt>
                <c:pt idx="3">
                  <c:v>45300</c:v>
                </c:pt>
              </c:numCache>
            </c:numRef>
          </c:cat>
          <c:val>
            <c:numRef>
              <c:f>'MIS File'!$R$3:$R$8</c:f>
              <c:numCache>
                <c:formatCode>General</c:formatCode>
                <c:ptCount val="6"/>
                <c:pt idx="0">
                  <c:v>2</c:v>
                </c:pt>
                <c:pt idx="1">
                  <c:v>1</c:v>
                </c:pt>
                <c:pt idx="2">
                  <c:v>1</c:v>
                </c:pt>
                <c:pt idx="3">
                  <c:v>1</c:v>
                </c:pt>
                <c:pt idx="4">
                  <c:v>1</c:v>
                </c:pt>
                <c:pt idx="5">
                  <c:v>1</c:v>
                </c:pt>
              </c:numCache>
            </c:numRef>
          </c:val>
          <c:smooth val="0"/>
          <c:extLst>
            <c:ext xmlns:c16="http://schemas.microsoft.com/office/drawing/2014/chart" uri="{C3380CC4-5D6E-409C-BE32-E72D297353CC}">
              <c16:uniqueId val="{00000000-07A7-4575-8E39-A77613C84CAC}"/>
            </c:ext>
          </c:extLst>
        </c:ser>
        <c:dLbls>
          <c:dLblPos val="t"/>
          <c:showLegendKey val="0"/>
          <c:showVal val="1"/>
          <c:showCatName val="0"/>
          <c:showSerName val="0"/>
          <c:showPercent val="0"/>
          <c:showBubbleSize val="0"/>
        </c:dLbls>
        <c:smooth val="0"/>
        <c:axId val="490514672"/>
        <c:axId val="1832073663"/>
      </c:lineChart>
      <c:dateAx>
        <c:axId val="49051467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800" b="0" i="0" u="none" strike="noStrike" kern="1200" baseline="0">
                <a:solidFill>
                  <a:schemeClr val="tx1"/>
                </a:solidFill>
                <a:latin typeface="Lato Black" panose="020F0A02020204030203" pitchFamily="34" charset="0"/>
                <a:ea typeface="+mn-ea"/>
                <a:cs typeface="+mn-cs"/>
              </a:defRPr>
            </a:pPr>
            <a:endParaRPr lang="en-US"/>
          </a:p>
        </c:txPr>
        <c:crossAx val="1832073663"/>
        <c:crosses val="autoZero"/>
        <c:auto val="1"/>
        <c:lblOffset val="100"/>
        <c:baseTimeUnit val="days"/>
      </c:dateAx>
      <c:valAx>
        <c:axId val="1832073663"/>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05146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B$1" lockText="1" noThreeD="1"/>
</file>

<file path=xl/ctrlProps/ctrlProp2.xml><?xml version="1.0" encoding="utf-8"?>
<formControlPr xmlns="http://schemas.microsoft.com/office/spreadsheetml/2009/9/main" objectType="CheckBox" checked="Checked" fmlaLink="$A$3" lockText="1" noThreeD="1"/>
</file>

<file path=xl/ctrlProps/ctrlProp3.xml><?xml version="1.0" encoding="utf-8"?>
<formControlPr xmlns="http://schemas.microsoft.com/office/spreadsheetml/2009/9/main" objectType="CheckBox" fmlaLink="$B$1" lockText="1" noThreeD="1"/>
</file>

<file path=xl/ctrlProps/ctrlProp4.xml><?xml version="1.0" encoding="utf-8"?>
<formControlPr xmlns="http://schemas.microsoft.com/office/spreadsheetml/2009/9/main" objectType="CheckBox" fmlaLink="$A$3" lockText="1" noThreeD="1"/>
</file>

<file path=xl/ctrlProps/ctrlProp5.xml><?xml version="1.0" encoding="utf-8"?>
<formControlPr xmlns="http://schemas.microsoft.com/office/spreadsheetml/2009/9/main" objectType="CheckBox" checked="Checked" fmlaLink="$B$1" lockText="1" noThreeD="1"/>
</file>

<file path=xl/ctrlProps/ctrlProp6.xml><?xml version="1.0" encoding="utf-8"?>
<formControlPr xmlns="http://schemas.microsoft.com/office/spreadsheetml/2009/9/main" objectType="CheckBox" checked="Checked" fmlaLink="$A$3" lockText="1" noThreeD="1"/>
</file>

<file path=xl/drawings/_rels/drawing2.xml.rels><?xml version="1.0" encoding="UTF-8" standalone="yes"?>
<Relationships xmlns="http://schemas.openxmlformats.org/package/2006/relationships"><Relationship Id="rId1" Type="http://schemas.openxmlformats.org/officeDocument/2006/relationships/hyperlink" Target="Email_ID/Email%20Ids.xlsx" TargetMode="External"/></Relationships>
</file>

<file path=xl/drawings/_rels/drawing4.xml.rels><?xml version="1.0" encoding="UTF-8" standalone="yes"?>
<Relationships xmlns="http://schemas.openxmlformats.org/package/2006/relationships"><Relationship Id="rId1" Type="http://schemas.openxmlformats.org/officeDocument/2006/relationships/hyperlink" Target="Email_ID/Email%20Ids.xlsx" TargetMode="External"/></Relationships>
</file>

<file path=xl/drawings/_rels/drawing5.xml.rels><?xml version="1.0" encoding="UTF-8" standalone="yes"?>
<Relationships xmlns="http://schemas.openxmlformats.org/package/2006/relationships"><Relationship Id="rId1" Type="http://schemas.openxmlformats.org/officeDocument/2006/relationships/hyperlink" Target="Email_ID/Email%20Ids.xlsx" TargetMode="External"/></Relationships>
</file>

<file path=xl/drawings/_rels/drawing1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xdr:col>
      <xdr:colOff>188257</xdr:colOff>
      <xdr:row>15</xdr:row>
      <xdr:rowOff>179295</xdr:rowOff>
    </xdr:from>
    <xdr:to>
      <xdr:col>5</xdr:col>
      <xdr:colOff>562534</xdr:colOff>
      <xdr:row>20</xdr:row>
      <xdr:rowOff>74520</xdr:rowOff>
    </xdr:to>
    <xdr:sp macro="[0]!Visible_Riyadh_Files" textlink="">
      <xdr:nvSpPr>
        <xdr:cNvPr id="2" name="Rectangle: Rounded Corners 1">
          <a:extLst>
            <a:ext uri="{FF2B5EF4-FFF2-40B4-BE49-F238E27FC236}">
              <a16:creationId xmlns:a16="http://schemas.microsoft.com/office/drawing/2014/main" id="{00000000-0008-0000-0000-000002000000}"/>
            </a:ext>
          </a:extLst>
        </xdr:cNvPr>
        <xdr:cNvSpPr/>
      </xdr:nvSpPr>
      <xdr:spPr>
        <a:xfrm>
          <a:off x="883022" y="3036795"/>
          <a:ext cx="2794747" cy="847725"/>
        </a:xfrm>
        <a:prstGeom prst="roundRect">
          <a:avLst/>
        </a:prstGeom>
        <a:solidFill>
          <a:srgbClr val="00AC9A"/>
        </a:solidFill>
        <a:ln>
          <a:noFill/>
        </a:ln>
        <a:effectLst>
          <a:outerShdw dist="127000" dir="3300000" algn="t" rotWithShape="0">
            <a:prstClr val="black"/>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spc="100" baseline="0">
              <a:effectLst>
                <a:outerShdw blurRad="50800" dist="88900" dir="3000000" algn="t" rotWithShape="0">
                  <a:prstClr val="black"/>
                </a:outerShdw>
              </a:effectLst>
              <a:latin typeface="Lato Black" panose="020F0A02020204030203" pitchFamily="34" charset="0"/>
            </a:rPr>
            <a:t>RIYADH</a:t>
          </a:r>
        </a:p>
      </xdr:txBody>
    </xdr:sp>
    <xdr:clientData/>
  </xdr:twoCellAnchor>
  <xdr:twoCellAnchor>
    <xdr:from>
      <xdr:col>7</xdr:col>
      <xdr:colOff>527047</xdr:colOff>
      <xdr:row>15</xdr:row>
      <xdr:rowOff>179295</xdr:rowOff>
    </xdr:from>
    <xdr:to>
      <xdr:col>12</xdr:col>
      <xdr:colOff>296207</xdr:colOff>
      <xdr:row>20</xdr:row>
      <xdr:rowOff>74520</xdr:rowOff>
    </xdr:to>
    <xdr:sp macro="[0]!Visible_Jeddah_Files" textlink="">
      <xdr:nvSpPr>
        <xdr:cNvPr id="3" name="Rectangle: Rounded Corners 2">
          <a:extLst>
            <a:ext uri="{FF2B5EF4-FFF2-40B4-BE49-F238E27FC236}">
              <a16:creationId xmlns:a16="http://schemas.microsoft.com/office/drawing/2014/main" id="{00000000-0008-0000-0000-000003000000}"/>
            </a:ext>
          </a:extLst>
        </xdr:cNvPr>
        <xdr:cNvSpPr/>
      </xdr:nvSpPr>
      <xdr:spPr>
        <a:xfrm>
          <a:off x="4852518" y="3036795"/>
          <a:ext cx="2794748" cy="847725"/>
        </a:xfrm>
        <a:prstGeom prst="roundRect">
          <a:avLst/>
        </a:prstGeom>
        <a:solidFill>
          <a:srgbClr val="2C2671"/>
        </a:solidFill>
        <a:ln>
          <a:noFill/>
        </a:ln>
        <a:effectLst>
          <a:outerShdw dist="127000" dir="3300000" algn="t" rotWithShape="0">
            <a:prstClr val="black"/>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spc="100" baseline="0">
              <a:solidFill>
                <a:schemeClr val="lt1"/>
              </a:solidFill>
              <a:effectLst>
                <a:outerShdw blurRad="50800" dist="88900" dir="3000000" algn="t" rotWithShape="0">
                  <a:prstClr val="black"/>
                </a:outerShdw>
              </a:effectLst>
              <a:latin typeface="Lato Black" panose="020F0A02020204030203" pitchFamily="34" charset="0"/>
              <a:ea typeface="+mn-ea"/>
              <a:cs typeface="+mn-cs"/>
            </a:rPr>
            <a:t>JEDDAH</a:t>
          </a:r>
        </a:p>
      </xdr:txBody>
    </xdr:sp>
    <xdr:clientData/>
  </xdr:twoCellAnchor>
  <xdr:twoCellAnchor>
    <xdr:from>
      <xdr:col>14</xdr:col>
      <xdr:colOff>260721</xdr:colOff>
      <xdr:row>15</xdr:row>
      <xdr:rowOff>179295</xdr:rowOff>
    </xdr:from>
    <xdr:to>
      <xdr:col>19</xdr:col>
      <xdr:colOff>29881</xdr:colOff>
      <xdr:row>20</xdr:row>
      <xdr:rowOff>74520</xdr:rowOff>
    </xdr:to>
    <xdr:sp macro="[0]!Visible_Dammam_Files" textlink="">
      <xdr:nvSpPr>
        <xdr:cNvPr id="4" name="Rectangle: Rounded Corners 3">
          <a:extLst>
            <a:ext uri="{FF2B5EF4-FFF2-40B4-BE49-F238E27FC236}">
              <a16:creationId xmlns:a16="http://schemas.microsoft.com/office/drawing/2014/main" id="{00000000-0008-0000-0000-000004000000}"/>
            </a:ext>
          </a:extLst>
        </xdr:cNvPr>
        <xdr:cNvSpPr/>
      </xdr:nvSpPr>
      <xdr:spPr>
        <a:xfrm>
          <a:off x="8822015" y="3036795"/>
          <a:ext cx="2794748" cy="847725"/>
        </a:xfrm>
        <a:prstGeom prst="roundRect">
          <a:avLst/>
        </a:prstGeom>
        <a:solidFill>
          <a:schemeClr val="accent3"/>
        </a:solidFill>
        <a:ln>
          <a:noFill/>
        </a:ln>
        <a:effectLst>
          <a:outerShdw dist="127000" dir="3300000" algn="t" rotWithShape="0">
            <a:prstClr val="black"/>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spc="100" baseline="0">
              <a:solidFill>
                <a:schemeClr val="lt1"/>
              </a:solidFill>
              <a:effectLst>
                <a:outerShdw blurRad="50800" dist="88900" dir="3000000" algn="t" rotWithShape="0">
                  <a:prstClr val="black"/>
                </a:outerShdw>
              </a:effectLst>
              <a:latin typeface="Lato Black" panose="020F0A02020204030203" pitchFamily="34" charset="0"/>
              <a:ea typeface="+mn-ea"/>
              <a:cs typeface="+mn-cs"/>
            </a:rPr>
            <a:t>DAMMAM</a:t>
          </a:r>
        </a:p>
      </xdr:txBody>
    </xdr:sp>
    <xdr:clientData/>
  </xdr:twoCellAnchor>
  <xdr:oneCellAnchor>
    <xdr:from>
      <xdr:col>4</xdr:col>
      <xdr:colOff>556371</xdr:colOff>
      <xdr:row>9</xdr:row>
      <xdr:rowOff>54910</xdr:rowOff>
    </xdr:from>
    <xdr:ext cx="6035563" cy="1077218"/>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3066489" y="1769410"/>
          <a:ext cx="6035563" cy="1077218"/>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en-IN" sz="3200" kern="1900" spc="150" baseline="0">
              <a:ln>
                <a:solidFill>
                  <a:sysClr val="windowText" lastClr="000000"/>
                </a:solidFill>
              </a:ln>
              <a:latin typeface="Basement Grotesque Roman" pitchFamily="50" charset="0"/>
            </a:rPr>
            <a:t>LC-DISCREPANCY</a:t>
          </a:r>
        </a:p>
        <a:p>
          <a:pPr algn="ctr"/>
          <a:r>
            <a:rPr lang="en-IN" sz="3200" kern="1900" spc="150" baseline="0">
              <a:ln>
                <a:solidFill>
                  <a:sysClr val="windowText" lastClr="000000"/>
                </a:solidFill>
              </a:ln>
              <a:latin typeface="Basement Grotesque Roman" pitchFamily="50" charset="0"/>
            </a:rPr>
            <a:t>OUTSTANDING REPORT</a:t>
          </a:r>
        </a:p>
      </xdr:txBody>
    </xdr:sp>
    <xdr:clientData/>
  </xdr:oneCellAnchor>
  <xdr:twoCellAnchor>
    <xdr:from>
      <xdr:col>21</xdr:col>
      <xdr:colOff>140072</xdr:colOff>
      <xdr:row>20</xdr:row>
      <xdr:rowOff>112060</xdr:rowOff>
    </xdr:from>
    <xdr:to>
      <xdr:col>25</xdr:col>
      <xdr:colOff>514350</xdr:colOff>
      <xdr:row>25</xdr:row>
      <xdr:rowOff>7285</xdr:rowOff>
    </xdr:to>
    <xdr:sp macro="" textlink="">
      <xdr:nvSpPr>
        <xdr:cNvPr id="6" name="Rectangle: Rounded Corners 5">
          <a:extLst>
            <a:ext uri="{FF2B5EF4-FFF2-40B4-BE49-F238E27FC236}">
              <a16:creationId xmlns:a16="http://schemas.microsoft.com/office/drawing/2014/main" id="{00000000-0008-0000-0000-000006000000}"/>
            </a:ext>
          </a:extLst>
        </xdr:cNvPr>
        <xdr:cNvSpPr/>
      </xdr:nvSpPr>
      <xdr:spPr>
        <a:xfrm>
          <a:off x="12847543" y="3922060"/>
          <a:ext cx="2794748" cy="847725"/>
        </a:xfrm>
        <a:prstGeom prst="roundRect">
          <a:avLst/>
        </a:prstGeom>
        <a:solidFill>
          <a:schemeClr val="accent5">
            <a:lumMod val="50000"/>
          </a:schemeClr>
        </a:solidFill>
        <a:ln>
          <a:noFill/>
        </a:ln>
        <a:effectLst>
          <a:outerShdw dist="127000" dir="3300000" algn="t" rotWithShape="0">
            <a:prstClr val="black"/>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800" spc="100" baseline="0">
              <a:solidFill>
                <a:schemeClr val="lt1"/>
              </a:solidFill>
              <a:effectLst>
                <a:outerShdw blurRad="50800" dist="88900" dir="3000000" algn="t" rotWithShape="0">
                  <a:prstClr val="black"/>
                </a:outerShdw>
              </a:effectLst>
              <a:latin typeface="Basement Grotesque Roman" pitchFamily="50" charset="0"/>
              <a:ea typeface="+mn-ea"/>
              <a:cs typeface="+mn-cs"/>
            </a:rPr>
            <a:t>ADHOC</a:t>
          </a:r>
        </a:p>
      </xdr:txBody>
    </xdr:sp>
    <xdr:clientData/>
  </xdr:twoCellAnchor>
  <xdr:twoCellAnchor>
    <xdr:from>
      <xdr:col>7</xdr:col>
      <xdr:colOff>311521</xdr:colOff>
      <xdr:row>1</xdr:row>
      <xdr:rowOff>100853</xdr:rowOff>
    </xdr:from>
    <xdr:to>
      <xdr:col>12</xdr:col>
      <xdr:colOff>605116</xdr:colOff>
      <xdr:row>7</xdr:row>
      <xdr:rowOff>56029</xdr:rowOff>
    </xdr:to>
    <xdr:grpSp>
      <xdr:nvGrpSpPr>
        <xdr:cNvPr id="9" name="Group 8">
          <a:extLst>
            <a:ext uri="{FF2B5EF4-FFF2-40B4-BE49-F238E27FC236}">
              <a16:creationId xmlns:a16="http://schemas.microsoft.com/office/drawing/2014/main" id="{00000000-0008-0000-0000-000009000000}"/>
            </a:ext>
          </a:extLst>
        </xdr:cNvPr>
        <xdr:cNvGrpSpPr/>
      </xdr:nvGrpSpPr>
      <xdr:grpSpPr>
        <a:xfrm>
          <a:off x="4636992" y="291353"/>
          <a:ext cx="3319183" cy="1098176"/>
          <a:chOff x="6945405" y="179294"/>
          <a:chExt cx="3319183" cy="1098176"/>
        </a:xfrm>
      </xdr:grpSpPr>
      <xdr:sp macro="[0]!Refresh_All" textlink="">
        <xdr:nvSpPr>
          <xdr:cNvPr id="7" name="Rectangle: Rounded Corners 6">
            <a:extLst>
              <a:ext uri="{FF2B5EF4-FFF2-40B4-BE49-F238E27FC236}">
                <a16:creationId xmlns:a16="http://schemas.microsoft.com/office/drawing/2014/main" id="{00000000-0008-0000-0000-000007000000}"/>
              </a:ext>
            </a:extLst>
          </xdr:cNvPr>
          <xdr:cNvSpPr/>
        </xdr:nvSpPr>
        <xdr:spPr>
          <a:xfrm>
            <a:off x="6945405" y="515471"/>
            <a:ext cx="2794747" cy="672353"/>
          </a:xfrm>
          <a:prstGeom prst="roundRect">
            <a:avLst/>
          </a:prstGeom>
          <a:solidFill>
            <a:schemeClr val="tx1">
              <a:lumMod val="65000"/>
              <a:lumOff val="35000"/>
            </a:schemeClr>
          </a:solidFill>
          <a:ln>
            <a:noFill/>
          </a:ln>
          <a:effectLst>
            <a:outerShdw dist="127000" dir="3300000" algn="t" rotWithShape="0">
              <a:prstClr val="black"/>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spc="100" baseline="0">
                <a:effectLst>
                  <a:outerShdw blurRad="50800" dist="88900" dir="3000000" algn="t" rotWithShape="0">
                    <a:prstClr val="black"/>
                  </a:outerShdw>
                </a:effectLst>
                <a:latin typeface="Basement Grotesque Roman" pitchFamily="50" charset="0"/>
              </a:rPr>
              <a:t>Refresh Data</a:t>
            </a:r>
          </a:p>
        </xdr:txBody>
      </xdr:sp>
      <xdr:sp macro="" textlink="">
        <xdr:nvSpPr>
          <xdr:cNvPr id="8" name="Lightning Bolt 7">
            <a:extLst>
              <a:ext uri="{FF2B5EF4-FFF2-40B4-BE49-F238E27FC236}">
                <a16:creationId xmlns:a16="http://schemas.microsoft.com/office/drawing/2014/main" id="{00000000-0008-0000-0000-000008000000}"/>
              </a:ext>
            </a:extLst>
          </xdr:cNvPr>
          <xdr:cNvSpPr/>
        </xdr:nvSpPr>
        <xdr:spPr>
          <a:xfrm>
            <a:off x="9144000" y="179294"/>
            <a:ext cx="1120588" cy="1098176"/>
          </a:xfrm>
          <a:prstGeom prst="lightningBolt">
            <a:avLst/>
          </a:prstGeom>
          <a:solidFill>
            <a:schemeClr val="tx1">
              <a:lumMod val="75000"/>
              <a:lumOff val="25000"/>
            </a:schemeClr>
          </a:solidFill>
          <a:ln>
            <a:noFill/>
          </a:ln>
          <a:effectLst>
            <a:outerShdw dist="127000" dir="3300000" algn="t" rotWithShape="0">
              <a:prstClr val="black"/>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IN" sz="2000" spc="100" baseline="0">
              <a:solidFill>
                <a:schemeClr val="lt1"/>
              </a:solidFill>
              <a:effectLst>
                <a:outerShdw blurRad="50800" dist="88900" dir="3000000" algn="t" rotWithShape="0">
                  <a:prstClr val="black"/>
                </a:outerShdw>
              </a:effectLst>
              <a:latin typeface="Basement Grotesque Roman" pitchFamily="50" charset="0"/>
              <a:ea typeface="+mn-ea"/>
              <a:cs typeface="+mn-cs"/>
            </a:endParaRPr>
          </a:p>
        </xdr:txBody>
      </xdr:sp>
    </xdr:grpSp>
    <xdr:clientData/>
  </xdr:twoCellAnchor>
  <xdr:oneCellAnchor>
    <xdr:from>
      <xdr:col>0</xdr:col>
      <xdr:colOff>134471</xdr:colOff>
      <xdr:row>54</xdr:row>
      <xdr:rowOff>44824</xdr:rowOff>
    </xdr:from>
    <xdr:ext cx="184731" cy="264560"/>
    <xdr:sp macro="" textlink="">
      <xdr:nvSpPr>
        <xdr:cNvPr id="10" name="TextBox 9">
          <a:extLst>
            <a:ext uri="{FF2B5EF4-FFF2-40B4-BE49-F238E27FC236}">
              <a16:creationId xmlns:a16="http://schemas.microsoft.com/office/drawing/2014/main" id="{00000000-0008-0000-0000-00000A000000}"/>
            </a:ext>
          </a:extLst>
        </xdr:cNvPr>
        <xdr:cNvSpPr txBox="1"/>
      </xdr:nvSpPr>
      <xdr:spPr>
        <a:xfrm>
          <a:off x="134471" y="10331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twoCellAnchor>
    <xdr:from>
      <xdr:col>0</xdr:col>
      <xdr:colOff>56030</xdr:colOff>
      <xdr:row>41</xdr:row>
      <xdr:rowOff>22412</xdr:rowOff>
    </xdr:from>
    <xdr:to>
      <xdr:col>2</xdr:col>
      <xdr:colOff>22413</xdr:colOff>
      <xdr:row>42</xdr:row>
      <xdr:rowOff>100853</xdr:rowOff>
    </xdr:to>
    <xdr:sp macro="[0]!Visible_All_Files" textlink="">
      <xdr:nvSpPr>
        <xdr:cNvPr id="11" name="Rectangle: Rounded Corners 10">
          <a:extLst>
            <a:ext uri="{FF2B5EF4-FFF2-40B4-BE49-F238E27FC236}">
              <a16:creationId xmlns:a16="http://schemas.microsoft.com/office/drawing/2014/main" id="{00000000-0008-0000-0000-00000B000000}"/>
            </a:ext>
          </a:extLst>
        </xdr:cNvPr>
        <xdr:cNvSpPr/>
      </xdr:nvSpPr>
      <xdr:spPr>
        <a:xfrm>
          <a:off x="56030" y="7832912"/>
          <a:ext cx="1176618" cy="268941"/>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solidFill>
                <a:schemeClr val="bg1">
                  <a:lumMod val="75000"/>
                </a:schemeClr>
              </a:solidFill>
            </a:rPr>
            <a:t>View</a:t>
          </a:r>
          <a:r>
            <a:rPr lang="en-IN" sz="1100" baseline="0">
              <a:solidFill>
                <a:schemeClr val="bg1">
                  <a:lumMod val="75000"/>
                </a:schemeClr>
              </a:solidFill>
            </a:rPr>
            <a:t> All Files</a:t>
          </a:r>
          <a:endParaRPr lang="en-IN" sz="1100">
            <a:solidFill>
              <a:schemeClr val="bg1">
                <a:lumMod val="75000"/>
              </a:schemeClr>
            </a:solidFill>
          </a:endParaRPr>
        </a:p>
      </xdr:txBody>
    </xdr:sp>
    <xdr:clientData/>
  </xdr:twoCellAnchor>
  <xdr:twoCellAnchor>
    <xdr:from>
      <xdr:col>2</xdr:col>
      <xdr:colOff>215543</xdr:colOff>
      <xdr:row>41</xdr:row>
      <xdr:rowOff>22412</xdr:rowOff>
    </xdr:from>
    <xdr:to>
      <xdr:col>3</xdr:col>
      <xdr:colOff>109426</xdr:colOff>
      <xdr:row>42</xdr:row>
      <xdr:rowOff>100853</xdr:rowOff>
    </xdr:to>
    <xdr:sp macro="[0]!Visible_Main_File" textlink="">
      <xdr:nvSpPr>
        <xdr:cNvPr id="13" name="Rectangle: Rounded Corners 12">
          <a:extLst>
            <a:ext uri="{FF2B5EF4-FFF2-40B4-BE49-F238E27FC236}">
              <a16:creationId xmlns:a16="http://schemas.microsoft.com/office/drawing/2014/main" id="{00000000-0008-0000-0000-00000D000000}"/>
            </a:ext>
          </a:extLst>
        </xdr:cNvPr>
        <xdr:cNvSpPr/>
      </xdr:nvSpPr>
      <xdr:spPr>
        <a:xfrm>
          <a:off x="1425778" y="7832912"/>
          <a:ext cx="499001" cy="268941"/>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solidFill>
                <a:schemeClr val="bg1">
                  <a:lumMod val="75000"/>
                </a:schemeClr>
              </a:solidFill>
            </a:rPr>
            <a:t>Main</a:t>
          </a:r>
        </a:p>
      </xdr:txBody>
    </xdr:sp>
    <xdr:clientData/>
  </xdr:twoCellAnchor>
  <xdr:oneCellAnchor>
    <xdr:from>
      <xdr:col>5</xdr:col>
      <xdr:colOff>278658</xdr:colOff>
      <xdr:row>22</xdr:row>
      <xdr:rowOff>122146</xdr:rowOff>
    </xdr:from>
    <xdr:ext cx="5380768" cy="584775"/>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3393893" y="4313146"/>
          <a:ext cx="5380768" cy="584775"/>
        </a:xfrm>
        <a:prstGeom prst="rect">
          <a:avLst/>
        </a:prstGeom>
        <a:no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algn="ctr"/>
          <a:r>
            <a:rPr lang="en-IN" sz="3200" kern="1900" spc="150" baseline="0">
              <a:ln>
                <a:solidFill>
                  <a:sysClr val="windowText" lastClr="000000"/>
                </a:solidFill>
              </a:ln>
              <a:latin typeface="Basement Grotesque Roman" pitchFamily="50" charset="0"/>
            </a:rPr>
            <a:t>SUPER-ESCALATION</a:t>
          </a:r>
        </a:p>
      </xdr:txBody>
    </xdr:sp>
    <xdr:clientData/>
  </xdr:oneCellAnchor>
  <xdr:twoCellAnchor>
    <xdr:from>
      <xdr:col>8</xdr:col>
      <xdr:colOff>132227</xdr:colOff>
      <xdr:row>27</xdr:row>
      <xdr:rowOff>33619</xdr:rowOff>
    </xdr:from>
    <xdr:to>
      <xdr:col>12</xdr:col>
      <xdr:colOff>506503</xdr:colOff>
      <xdr:row>31</xdr:row>
      <xdr:rowOff>119344</xdr:rowOff>
    </xdr:to>
    <xdr:sp macro="[0]!Visible_Super_Escalation_Files" textlink="">
      <xdr:nvSpPr>
        <xdr:cNvPr id="14" name="Rectangle: Rounded Corners 13">
          <a:extLst>
            <a:ext uri="{FF2B5EF4-FFF2-40B4-BE49-F238E27FC236}">
              <a16:creationId xmlns:a16="http://schemas.microsoft.com/office/drawing/2014/main" id="{00000000-0008-0000-0000-00000E000000}"/>
            </a:ext>
          </a:extLst>
        </xdr:cNvPr>
        <xdr:cNvSpPr/>
      </xdr:nvSpPr>
      <xdr:spPr>
        <a:xfrm>
          <a:off x="5062815" y="5177119"/>
          <a:ext cx="2794747" cy="847725"/>
        </a:xfrm>
        <a:prstGeom prst="roundRect">
          <a:avLst/>
        </a:prstGeom>
        <a:ln>
          <a:noFill/>
        </a:ln>
        <a:effectLst>
          <a:outerShdw dist="127000" dir="3300000" algn="t" rotWithShape="0">
            <a:prstClr val="black"/>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spc="100" baseline="0">
              <a:effectLst>
                <a:outerShdw blurRad="50800" dist="88900" dir="3000000" algn="t" rotWithShape="0">
                  <a:prstClr val="black"/>
                </a:outerShdw>
              </a:effectLst>
              <a:latin typeface="Lato Black" panose="020F0A02020204030203" pitchFamily="34" charset="0"/>
            </a:rPr>
            <a:t>EMAIL with MIS Report</a:t>
          </a:r>
        </a:p>
      </xdr:txBody>
    </xdr:sp>
    <xdr:clientData/>
  </xdr:twoCellAnchor>
  <xdr:twoCellAnchor>
    <xdr:from>
      <xdr:col>0</xdr:col>
      <xdr:colOff>109816</xdr:colOff>
      <xdr:row>33</xdr:row>
      <xdr:rowOff>173397</xdr:rowOff>
    </xdr:from>
    <xdr:to>
      <xdr:col>3</xdr:col>
      <xdr:colOff>280147</xdr:colOff>
      <xdr:row>37</xdr:row>
      <xdr:rowOff>40903</xdr:rowOff>
    </xdr:to>
    <xdr:sp macro="[0]!Generate_MIS" textlink="">
      <xdr:nvSpPr>
        <xdr:cNvPr id="16" name="Rectangle: Rounded Corners 15">
          <a:extLst>
            <a:ext uri="{FF2B5EF4-FFF2-40B4-BE49-F238E27FC236}">
              <a16:creationId xmlns:a16="http://schemas.microsoft.com/office/drawing/2014/main" id="{00000000-0008-0000-0000-000010000000}"/>
            </a:ext>
          </a:extLst>
        </xdr:cNvPr>
        <xdr:cNvSpPr/>
      </xdr:nvSpPr>
      <xdr:spPr>
        <a:xfrm>
          <a:off x="109816" y="6459897"/>
          <a:ext cx="2075331" cy="629506"/>
        </a:xfrm>
        <a:prstGeom prst="roundRect">
          <a:avLst/>
        </a:prstGeom>
        <a:ln>
          <a:noFill/>
        </a:ln>
        <a:effectLst>
          <a:outerShdw dist="127000" dir="3300000" algn="t" rotWithShape="0">
            <a:prstClr val="black"/>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spc="100" baseline="0">
              <a:effectLst>
                <a:outerShdw blurRad="50800" dist="88900" dir="3000000" algn="t" rotWithShape="0">
                  <a:prstClr val="black"/>
                </a:outerShdw>
              </a:effectLst>
              <a:latin typeface="Lato Black" panose="020F0A02020204030203" pitchFamily="34" charset="0"/>
            </a:rPr>
            <a:t>Generate Weekly MIS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130175</xdr:colOff>
      <xdr:row>1</xdr:row>
      <xdr:rowOff>161925</xdr:rowOff>
    </xdr:from>
    <xdr:to>
      <xdr:col>2</xdr:col>
      <xdr:colOff>527050</xdr:colOff>
      <xdr:row>3</xdr:row>
      <xdr:rowOff>136525</xdr:rowOff>
    </xdr:to>
    <xdr:sp macro="[0]!Generate_File_Riyadh" textlink="">
      <xdr:nvSpPr>
        <xdr:cNvPr id="2" name="Rectangle: Rounded Corners 1">
          <a:extLst>
            <a:ext uri="{FF2B5EF4-FFF2-40B4-BE49-F238E27FC236}">
              <a16:creationId xmlns:a16="http://schemas.microsoft.com/office/drawing/2014/main" id="{00000000-0008-0000-0100-000002000000}"/>
            </a:ext>
          </a:extLst>
        </xdr:cNvPr>
        <xdr:cNvSpPr/>
      </xdr:nvSpPr>
      <xdr:spPr>
        <a:xfrm>
          <a:off x="968375" y="428625"/>
          <a:ext cx="1254125" cy="355600"/>
        </a:xfrm>
        <a:prstGeom prst="roundRect">
          <a:avLst>
            <a:gd name="adj" fmla="val 38096"/>
          </a:avLst>
        </a:prstGeom>
        <a:solidFill>
          <a:schemeClr val="bg1">
            <a:lumMod val="95000"/>
          </a:schemeClr>
        </a:solidFill>
        <a:ln>
          <a:solidFill>
            <a:schemeClr val="accent1"/>
          </a:solid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1100" b="1" kern="300" spc="50" baseline="0">
              <a:solidFill>
                <a:sysClr val="windowText" lastClr="000000"/>
              </a:solidFill>
              <a:effectLst/>
              <a:latin typeface="+mn-lt"/>
              <a:ea typeface="+mn-ea"/>
              <a:cs typeface="+mn-cs"/>
            </a:rPr>
            <a:t>Generate File</a:t>
          </a:r>
        </a:p>
      </xdr:txBody>
    </xdr:sp>
    <xdr:clientData/>
  </xdr:twoCellAnchor>
  <xdr:twoCellAnchor>
    <xdr:from>
      <xdr:col>6</xdr:col>
      <xdr:colOff>1276350</xdr:colOff>
      <xdr:row>1</xdr:row>
      <xdr:rowOff>34925</xdr:rowOff>
    </xdr:from>
    <xdr:to>
      <xdr:col>8</xdr:col>
      <xdr:colOff>403224</xdr:colOff>
      <xdr:row>3</xdr:row>
      <xdr:rowOff>114301</xdr:rowOff>
    </xdr:to>
    <xdr:sp macro="[0]!NE_Riyadh_No_Email" textlink="">
      <xdr:nvSpPr>
        <xdr:cNvPr id="4" name="Rectangle: Rounded Corners 3">
          <a:extLst>
            <a:ext uri="{FF2B5EF4-FFF2-40B4-BE49-F238E27FC236}">
              <a16:creationId xmlns:a16="http://schemas.microsoft.com/office/drawing/2014/main" id="{00000000-0008-0000-0100-000004000000}"/>
            </a:ext>
          </a:extLst>
        </xdr:cNvPr>
        <xdr:cNvSpPr/>
      </xdr:nvSpPr>
      <xdr:spPr>
        <a:xfrm>
          <a:off x="8801100" y="301625"/>
          <a:ext cx="1498599" cy="460376"/>
        </a:xfrm>
        <a:prstGeom prst="roundRect">
          <a:avLst>
            <a:gd name="adj" fmla="val 50000"/>
          </a:avLst>
        </a:prstGeom>
        <a:solidFill>
          <a:schemeClr val="bg1">
            <a:lumMod val="95000"/>
          </a:schemeClr>
        </a:solidFill>
        <a:ln>
          <a:solidFill>
            <a:schemeClr val="accent1"/>
          </a:solid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1100" b="1" kern="300" spc="50" baseline="0">
              <a:solidFill>
                <a:sysClr val="windowText" lastClr="000000"/>
              </a:solidFill>
              <a:effectLst/>
              <a:latin typeface="+mn-lt"/>
              <a:ea typeface="+mn-ea"/>
              <a:cs typeface="+mn-cs"/>
            </a:rPr>
            <a:t>Send for Email ID's</a:t>
          </a:r>
        </a:p>
      </xdr:txBody>
    </xdr:sp>
    <xdr:clientData/>
  </xdr:twoCellAnchor>
  <xdr:twoCellAnchor>
    <xdr:from>
      <xdr:col>2</xdr:col>
      <xdr:colOff>631825</xdr:colOff>
      <xdr:row>1</xdr:row>
      <xdr:rowOff>161925</xdr:rowOff>
    </xdr:from>
    <xdr:to>
      <xdr:col>3</xdr:col>
      <xdr:colOff>498475</xdr:colOff>
      <xdr:row>3</xdr:row>
      <xdr:rowOff>139700</xdr:rowOff>
    </xdr:to>
    <xdr:sp macro="[0]!Email_Riyadh_Customer_LT60" textlink="">
      <xdr:nvSpPr>
        <xdr:cNvPr id="5" name="Rectangle: Rounded Corners 4">
          <a:extLst>
            <a:ext uri="{FF2B5EF4-FFF2-40B4-BE49-F238E27FC236}">
              <a16:creationId xmlns:a16="http://schemas.microsoft.com/office/drawing/2014/main" id="{00000000-0008-0000-0100-000005000000}"/>
            </a:ext>
          </a:extLst>
        </xdr:cNvPr>
        <xdr:cNvSpPr/>
      </xdr:nvSpPr>
      <xdr:spPr>
        <a:xfrm>
          <a:off x="2327275" y="428625"/>
          <a:ext cx="1114425" cy="358775"/>
        </a:xfrm>
        <a:prstGeom prst="roundRect">
          <a:avLst>
            <a:gd name="adj" fmla="val 48525"/>
          </a:avLst>
        </a:prstGeom>
        <a:solidFill>
          <a:schemeClr val="bg1">
            <a:lumMod val="95000"/>
          </a:schemeClr>
        </a:solidFill>
        <a:ln>
          <a:solidFill>
            <a:schemeClr val="accent1"/>
          </a:solid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1100" b="1" kern="300" spc="50" baseline="0">
              <a:solidFill>
                <a:sysClr val="windowText" lastClr="000000"/>
              </a:solidFill>
              <a:effectLst/>
              <a:latin typeface="+mn-lt"/>
              <a:ea typeface="+mn-ea"/>
              <a:cs typeface="+mn-cs"/>
            </a:rPr>
            <a:t>Send Email</a:t>
          </a:r>
        </a:p>
      </xdr:txBody>
    </xdr:sp>
    <xdr:clientData/>
  </xdr:twoCellAnchor>
  <xdr:twoCellAnchor>
    <xdr:from>
      <xdr:col>0</xdr:col>
      <xdr:colOff>19052</xdr:colOff>
      <xdr:row>0</xdr:row>
      <xdr:rowOff>11969</xdr:rowOff>
    </xdr:from>
    <xdr:to>
      <xdr:col>1</xdr:col>
      <xdr:colOff>38100</xdr:colOff>
      <xdr:row>1</xdr:row>
      <xdr:rowOff>131157</xdr:rowOff>
    </xdr:to>
    <xdr:sp macro="[0]!Refresh_All" textlink="">
      <xdr:nvSpPr>
        <xdr:cNvPr id="8" name="Rectangle: Rounded Corners 7">
          <a:extLst>
            <a:ext uri="{FF2B5EF4-FFF2-40B4-BE49-F238E27FC236}">
              <a16:creationId xmlns:a16="http://schemas.microsoft.com/office/drawing/2014/main" id="{00000000-0008-0000-0100-000008000000}"/>
            </a:ext>
          </a:extLst>
        </xdr:cNvPr>
        <xdr:cNvSpPr/>
      </xdr:nvSpPr>
      <xdr:spPr>
        <a:xfrm>
          <a:off x="19052" y="11969"/>
          <a:ext cx="857248" cy="385888"/>
        </a:xfrm>
        <a:prstGeom prst="roundRect">
          <a:avLst>
            <a:gd name="adj" fmla="val 40127"/>
          </a:avLst>
        </a:prstGeom>
        <a:solidFill>
          <a:schemeClr val="bg1">
            <a:lumMod val="95000"/>
          </a:schemeClr>
        </a:solidFill>
        <a:ln>
          <a:solidFill>
            <a:schemeClr val="accent1"/>
          </a:solid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1100" b="1" kern="300" spc="50" baseline="0">
              <a:solidFill>
                <a:sysClr val="windowText" lastClr="000000"/>
              </a:solidFill>
              <a:effectLst/>
              <a:latin typeface="+mn-lt"/>
              <a:ea typeface="+mn-ea"/>
              <a:cs typeface="+mn-cs"/>
            </a:rPr>
            <a:t>Refresh Data</a:t>
          </a:r>
        </a:p>
      </xdr:txBody>
    </xdr:sp>
    <xdr:clientData/>
  </xdr:twoCellAnchor>
  <xdr:twoCellAnchor>
    <xdr:from>
      <xdr:col>5</xdr:col>
      <xdr:colOff>885826</xdr:colOff>
      <xdr:row>1</xdr:row>
      <xdr:rowOff>44450</xdr:rowOff>
    </xdr:from>
    <xdr:to>
      <xdr:col>6</xdr:col>
      <xdr:colOff>1174751</xdr:colOff>
      <xdr:row>3</xdr:row>
      <xdr:rowOff>123825</xdr:rowOff>
    </xdr:to>
    <xdr:sp macro="[0]!NE_Riyadh_No_Email" textlink="">
      <xdr:nvSpPr>
        <xdr:cNvPr id="7" name="Rectangle: Rounded Corners 6">
          <a:hlinkClick xmlns:r="http://schemas.openxmlformats.org/officeDocument/2006/relationships" r:id="rId1"/>
          <a:extLst>
            <a:ext uri="{FF2B5EF4-FFF2-40B4-BE49-F238E27FC236}">
              <a16:creationId xmlns:a16="http://schemas.microsoft.com/office/drawing/2014/main" id="{00000000-0008-0000-0100-000007000000}"/>
            </a:ext>
          </a:extLst>
        </xdr:cNvPr>
        <xdr:cNvSpPr/>
      </xdr:nvSpPr>
      <xdr:spPr>
        <a:xfrm>
          <a:off x="7162801" y="311150"/>
          <a:ext cx="1536700" cy="460375"/>
        </a:xfrm>
        <a:prstGeom prst="roundRect">
          <a:avLst>
            <a:gd name="adj" fmla="val 43564"/>
          </a:avLst>
        </a:prstGeom>
        <a:solidFill>
          <a:schemeClr val="bg1">
            <a:lumMod val="95000"/>
          </a:schemeClr>
        </a:solidFill>
        <a:ln>
          <a:solidFill>
            <a:schemeClr val="accent1"/>
          </a:solid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1100" b="1" kern="300" spc="50" baseline="0">
              <a:solidFill>
                <a:sysClr val="windowText" lastClr="000000"/>
              </a:solidFill>
              <a:effectLst/>
              <a:latin typeface="+mn-lt"/>
              <a:ea typeface="+mn-ea"/>
              <a:cs typeface="+mn-cs"/>
            </a:rPr>
            <a:t>Open Email ID's File</a:t>
          </a:r>
        </a:p>
      </xdr:txBody>
    </xdr:sp>
    <xdr:clientData/>
  </xdr:twoCellAnchor>
  <mc:AlternateContent xmlns:mc="http://schemas.openxmlformats.org/markup-compatibility/2006">
    <mc:Choice xmlns:a14="http://schemas.microsoft.com/office/drawing/2010/main" Requires="a14">
      <xdr:twoCellAnchor editAs="oneCell">
        <xdr:from>
          <xdr:col>3</xdr:col>
          <xdr:colOff>1314450</xdr:colOff>
          <xdr:row>1</xdr:row>
          <xdr:rowOff>9525</xdr:rowOff>
        </xdr:from>
        <xdr:to>
          <xdr:col>3</xdr:col>
          <xdr:colOff>2647950</xdr:colOff>
          <xdr:row>2</xdr:row>
          <xdr:rowOff>85725</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Only Available Emails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1323975</xdr:colOff>
          <xdr:row>2</xdr:row>
          <xdr:rowOff>47625</xdr:rowOff>
        </xdr:from>
        <xdr:to>
          <xdr:col>4</xdr:col>
          <xdr:colOff>133350</xdr:colOff>
          <xdr:row>3</xdr:row>
          <xdr:rowOff>133350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Country Head Escalation</a:t>
              </a:r>
            </a:p>
          </xdr:txBody>
        </xdr:sp>
        <xdr:clientData/>
      </xdr:twoCellAnchor>
    </mc:Choice>
    <mc:Fallback/>
  </mc:AlternateContent>
  <xdr:twoCellAnchor>
    <xdr:from>
      <xdr:col>0</xdr:col>
      <xdr:colOff>0</xdr:colOff>
      <xdr:row>1</xdr:row>
      <xdr:rowOff>168275</xdr:rowOff>
    </xdr:from>
    <xdr:to>
      <xdr:col>1</xdr:col>
      <xdr:colOff>76200</xdr:colOff>
      <xdr:row>3</xdr:row>
      <xdr:rowOff>146050</xdr:rowOff>
    </xdr:to>
    <xdr:sp macro="[0]!Visible_Main_File" textlink="">
      <xdr:nvSpPr>
        <xdr:cNvPr id="9" name="Rectangle: Rounded Corners 8">
          <a:extLst>
            <a:ext uri="{FF2B5EF4-FFF2-40B4-BE49-F238E27FC236}">
              <a16:creationId xmlns:a16="http://schemas.microsoft.com/office/drawing/2014/main" id="{00000000-0008-0000-0100-000009000000}"/>
            </a:ext>
          </a:extLst>
        </xdr:cNvPr>
        <xdr:cNvSpPr/>
      </xdr:nvSpPr>
      <xdr:spPr>
        <a:xfrm>
          <a:off x="0" y="434975"/>
          <a:ext cx="914400" cy="358775"/>
        </a:xfrm>
        <a:prstGeom prst="roundRect">
          <a:avLst>
            <a:gd name="adj" fmla="val 37906"/>
          </a:avLst>
        </a:prstGeom>
        <a:solidFill>
          <a:schemeClr val="bg1">
            <a:lumMod val="95000"/>
          </a:schemeClr>
        </a:solidFill>
        <a:ln>
          <a:solidFill>
            <a:schemeClr val="accent1"/>
          </a:solid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1100" b="1" kern="300" spc="50" baseline="0">
              <a:solidFill>
                <a:sysClr val="windowText" lastClr="000000"/>
              </a:solidFill>
              <a:effectLst/>
              <a:latin typeface="+mn-lt"/>
              <a:ea typeface="+mn-ea"/>
              <a:cs typeface="+mn-cs"/>
            </a:rPr>
            <a:t>Main Page</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1866900</xdr:colOff>
      <xdr:row>0</xdr:row>
      <xdr:rowOff>76200</xdr:rowOff>
    </xdr:from>
    <xdr:to>
      <xdr:col>4</xdr:col>
      <xdr:colOff>295275</xdr:colOff>
      <xdr:row>2</xdr:row>
      <xdr:rowOff>34925</xdr:rowOff>
    </xdr:to>
    <xdr:sp macro="" textlink="">
      <xdr:nvSpPr>
        <xdr:cNvPr id="2" name="Rectangle: Rounded Corners 1">
          <a:extLst>
            <a:ext uri="{FF2B5EF4-FFF2-40B4-BE49-F238E27FC236}">
              <a16:creationId xmlns:a16="http://schemas.microsoft.com/office/drawing/2014/main" id="{00000000-0008-0000-0400-000002000000}"/>
            </a:ext>
          </a:extLst>
        </xdr:cNvPr>
        <xdr:cNvSpPr/>
      </xdr:nvSpPr>
      <xdr:spPr>
        <a:xfrm>
          <a:off x="4600575" y="76200"/>
          <a:ext cx="1114425" cy="358775"/>
        </a:xfrm>
        <a:prstGeom prst="roundRect">
          <a:avLst/>
        </a:prstGeom>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kern="300" spc="50" baseline="0">
              <a:effectLst>
                <a:outerShdw dist="76200" dir="5400000" algn="t" rotWithShape="0">
                  <a:prstClr val="black"/>
                </a:outerShdw>
              </a:effectLst>
            </a:rPr>
            <a:t>Send Email</a:t>
          </a:r>
        </a:p>
      </xdr:txBody>
    </xdr:sp>
    <xdr:clientData/>
  </xdr:twoCellAnchor>
  <xdr:twoCellAnchor>
    <xdr:from>
      <xdr:col>3</xdr:col>
      <xdr:colOff>438150</xdr:colOff>
      <xdr:row>0</xdr:row>
      <xdr:rowOff>76200</xdr:rowOff>
    </xdr:from>
    <xdr:to>
      <xdr:col>3</xdr:col>
      <xdr:colOff>1552575</xdr:colOff>
      <xdr:row>2</xdr:row>
      <xdr:rowOff>34925</xdr:rowOff>
    </xdr:to>
    <xdr:sp macro="" textlink="">
      <xdr:nvSpPr>
        <xdr:cNvPr id="3" name="Rectangle: Rounded Corners 2">
          <a:extLst>
            <a:ext uri="{FF2B5EF4-FFF2-40B4-BE49-F238E27FC236}">
              <a16:creationId xmlns:a16="http://schemas.microsoft.com/office/drawing/2014/main" id="{00000000-0008-0000-0400-000003000000}"/>
            </a:ext>
          </a:extLst>
        </xdr:cNvPr>
        <xdr:cNvSpPr/>
      </xdr:nvSpPr>
      <xdr:spPr>
        <a:xfrm>
          <a:off x="3171825" y="76200"/>
          <a:ext cx="1114425" cy="358775"/>
        </a:xfrm>
        <a:prstGeom prst="roundRect">
          <a:avLst/>
        </a:prstGeom>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kern="300" spc="50" baseline="0">
              <a:effectLst>
                <a:outerShdw dist="76200" dir="5400000" algn="t" rotWithShape="0">
                  <a:prstClr val="black"/>
                </a:outerShdw>
              </a:effectLst>
            </a:rPr>
            <a:t>Generate File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228599</xdr:colOff>
      <xdr:row>1</xdr:row>
      <xdr:rowOff>161926</xdr:rowOff>
    </xdr:from>
    <xdr:to>
      <xdr:col>2</xdr:col>
      <xdr:colOff>803274</xdr:colOff>
      <xdr:row>3</xdr:row>
      <xdr:rowOff>133351</xdr:rowOff>
    </xdr:to>
    <xdr:sp macro="[0]!Generate_File_Jeddah" textlink="">
      <xdr:nvSpPr>
        <xdr:cNvPr id="2" name="Rectangle: Rounded Corners 1">
          <a:extLst>
            <a:ext uri="{FF2B5EF4-FFF2-40B4-BE49-F238E27FC236}">
              <a16:creationId xmlns:a16="http://schemas.microsoft.com/office/drawing/2014/main" id="{00000000-0008-0000-0500-000002000000}"/>
            </a:ext>
          </a:extLst>
        </xdr:cNvPr>
        <xdr:cNvSpPr/>
      </xdr:nvSpPr>
      <xdr:spPr>
        <a:xfrm>
          <a:off x="1209674" y="400051"/>
          <a:ext cx="1279525" cy="352425"/>
        </a:xfrm>
        <a:prstGeom prst="roundRect">
          <a:avLst>
            <a:gd name="adj" fmla="val 50000"/>
          </a:avLst>
        </a:prstGeom>
        <a:solidFill>
          <a:schemeClr val="bg1">
            <a:lumMod val="95000"/>
          </a:schemeClr>
        </a:solidFill>
        <a:ln>
          <a:solidFill>
            <a:schemeClr val="accent1"/>
          </a:solid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1100" b="1" kern="300" spc="50" baseline="0">
              <a:solidFill>
                <a:sysClr val="windowText" lastClr="000000"/>
              </a:solidFill>
              <a:effectLst/>
              <a:latin typeface="+mn-lt"/>
              <a:ea typeface="+mn-ea"/>
              <a:cs typeface="+mn-cs"/>
            </a:rPr>
            <a:t>Generate File</a:t>
          </a:r>
        </a:p>
      </xdr:txBody>
    </xdr:sp>
    <xdr:clientData/>
  </xdr:twoCellAnchor>
  <xdr:twoCellAnchor>
    <xdr:from>
      <xdr:col>0</xdr:col>
      <xdr:colOff>47626</xdr:colOff>
      <xdr:row>2</xdr:row>
      <xdr:rowOff>61912</xdr:rowOff>
    </xdr:from>
    <xdr:to>
      <xdr:col>0</xdr:col>
      <xdr:colOff>904876</xdr:colOff>
      <xdr:row>4</xdr:row>
      <xdr:rowOff>142874</xdr:rowOff>
    </xdr:to>
    <xdr:sp macro="[0]!Visible_Main_File" textlink="">
      <xdr:nvSpPr>
        <xdr:cNvPr id="3" name="Rectangle: Rounded Corners 2">
          <a:extLst>
            <a:ext uri="{FF2B5EF4-FFF2-40B4-BE49-F238E27FC236}">
              <a16:creationId xmlns:a16="http://schemas.microsoft.com/office/drawing/2014/main" id="{00000000-0008-0000-0500-000003000000}"/>
            </a:ext>
          </a:extLst>
        </xdr:cNvPr>
        <xdr:cNvSpPr/>
      </xdr:nvSpPr>
      <xdr:spPr>
        <a:xfrm>
          <a:off x="47626" y="490537"/>
          <a:ext cx="857250" cy="509587"/>
        </a:xfrm>
        <a:prstGeom prst="roundRect">
          <a:avLst>
            <a:gd name="adj" fmla="val 42835"/>
          </a:avLst>
        </a:prstGeom>
        <a:solidFill>
          <a:schemeClr val="bg1">
            <a:lumMod val="95000"/>
          </a:schemeClr>
        </a:solidFill>
        <a:ln>
          <a:solidFill>
            <a:schemeClr val="accent1"/>
          </a:solid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1100" b="1" kern="300" spc="50" baseline="0">
              <a:solidFill>
                <a:sysClr val="windowText" lastClr="000000"/>
              </a:solidFill>
              <a:effectLst/>
              <a:latin typeface="+mn-lt"/>
              <a:ea typeface="+mn-ea"/>
              <a:cs typeface="+mn-cs"/>
            </a:rPr>
            <a:t>Main Page</a:t>
          </a:r>
        </a:p>
      </xdr:txBody>
    </xdr:sp>
    <xdr:clientData/>
  </xdr:twoCellAnchor>
  <xdr:twoCellAnchor>
    <xdr:from>
      <xdr:col>6</xdr:col>
      <xdr:colOff>628649</xdr:colOff>
      <xdr:row>1</xdr:row>
      <xdr:rowOff>47625</xdr:rowOff>
    </xdr:from>
    <xdr:to>
      <xdr:col>7</xdr:col>
      <xdr:colOff>438149</xdr:colOff>
      <xdr:row>3</xdr:row>
      <xdr:rowOff>184150</xdr:rowOff>
    </xdr:to>
    <xdr:sp macro="[0]!NE_Jeddah_No_Email" textlink="">
      <xdr:nvSpPr>
        <xdr:cNvPr id="4" name="Rectangle: Rounded Corners 3">
          <a:extLst>
            <a:ext uri="{FF2B5EF4-FFF2-40B4-BE49-F238E27FC236}">
              <a16:creationId xmlns:a16="http://schemas.microsoft.com/office/drawing/2014/main" id="{00000000-0008-0000-0500-000004000000}"/>
            </a:ext>
          </a:extLst>
        </xdr:cNvPr>
        <xdr:cNvSpPr/>
      </xdr:nvSpPr>
      <xdr:spPr>
        <a:xfrm>
          <a:off x="7486649" y="285750"/>
          <a:ext cx="1257300" cy="517525"/>
        </a:xfrm>
        <a:prstGeom prst="roundRect">
          <a:avLst>
            <a:gd name="adj" fmla="val 40593"/>
          </a:avLst>
        </a:prstGeom>
        <a:solidFill>
          <a:schemeClr val="bg1">
            <a:lumMod val="95000"/>
          </a:schemeClr>
        </a:solidFill>
        <a:ln>
          <a:solidFill>
            <a:schemeClr val="accent1"/>
          </a:solid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1100" b="1" kern="300" spc="50" baseline="0">
              <a:solidFill>
                <a:sysClr val="windowText" lastClr="000000"/>
              </a:solidFill>
              <a:effectLst/>
              <a:latin typeface="+mn-lt"/>
              <a:ea typeface="+mn-ea"/>
              <a:cs typeface="+mn-cs"/>
            </a:rPr>
            <a:t>Send for Email ID's</a:t>
          </a:r>
        </a:p>
      </xdr:txBody>
    </xdr:sp>
    <xdr:clientData/>
  </xdr:twoCellAnchor>
  <xdr:twoCellAnchor>
    <xdr:from>
      <xdr:col>0</xdr:col>
      <xdr:colOff>28575</xdr:colOff>
      <xdr:row>0</xdr:row>
      <xdr:rowOff>47625</xdr:rowOff>
    </xdr:from>
    <xdr:to>
      <xdr:col>0</xdr:col>
      <xdr:colOff>885823</xdr:colOff>
      <xdr:row>2</xdr:row>
      <xdr:rowOff>4888</xdr:rowOff>
    </xdr:to>
    <xdr:sp macro="[0]!Refresh_All" textlink="">
      <xdr:nvSpPr>
        <xdr:cNvPr id="7" name="Rectangle: Rounded Corners 6">
          <a:extLst>
            <a:ext uri="{FF2B5EF4-FFF2-40B4-BE49-F238E27FC236}">
              <a16:creationId xmlns:a16="http://schemas.microsoft.com/office/drawing/2014/main" id="{00000000-0008-0000-0500-000007000000}"/>
            </a:ext>
          </a:extLst>
        </xdr:cNvPr>
        <xdr:cNvSpPr/>
      </xdr:nvSpPr>
      <xdr:spPr>
        <a:xfrm>
          <a:off x="28575" y="47625"/>
          <a:ext cx="857248" cy="385888"/>
        </a:xfrm>
        <a:prstGeom prst="roundRect">
          <a:avLst>
            <a:gd name="adj" fmla="val 33945"/>
          </a:avLst>
        </a:prstGeom>
        <a:solidFill>
          <a:schemeClr val="bg1">
            <a:lumMod val="95000"/>
          </a:schemeClr>
        </a:solidFill>
        <a:ln>
          <a:solidFill>
            <a:schemeClr val="accent1"/>
          </a:solid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1100" b="1" kern="300" spc="50" baseline="0">
              <a:solidFill>
                <a:sysClr val="windowText" lastClr="000000"/>
              </a:solidFill>
              <a:effectLst/>
              <a:latin typeface="+mn-lt"/>
              <a:ea typeface="+mn-ea"/>
              <a:cs typeface="+mn-cs"/>
            </a:rPr>
            <a:t>Refresh Data</a:t>
          </a:r>
        </a:p>
      </xdr:txBody>
    </xdr:sp>
    <xdr:clientData/>
  </xdr:twoCellAnchor>
  <mc:AlternateContent xmlns:mc="http://schemas.openxmlformats.org/markup-compatibility/2006">
    <mc:Choice xmlns:a14="http://schemas.microsoft.com/office/drawing/2010/main" Requires="a14">
      <xdr:twoCellAnchor editAs="oneCell">
        <xdr:from>
          <xdr:col>3</xdr:col>
          <xdr:colOff>1000125</xdr:colOff>
          <xdr:row>1</xdr:row>
          <xdr:rowOff>38100</xdr:rowOff>
        </xdr:from>
        <xdr:to>
          <xdr:col>3</xdr:col>
          <xdr:colOff>2390775</xdr:colOff>
          <xdr:row>2</xdr:row>
          <xdr:rowOff>123825</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5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Only Available Emails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1000125</xdr:colOff>
          <xdr:row>2</xdr:row>
          <xdr:rowOff>85725</xdr:rowOff>
        </xdr:from>
        <xdr:to>
          <xdr:col>3</xdr:col>
          <xdr:colOff>2476500</xdr:colOff>
          <xdr:row>3</xdr:row>
          <xdr:rowOff>171450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5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Country Head Escalation</a:t>
              </a:r>
            </a:p>
          </xdr:txBody>
        </xdr:sp>
        <xdr:clientData/>
      </xdr:twoCellAnchor>
    </mc:Choice>
    <mc:Fallback/>
  </mc:AlternateContent>
  <xdr:twoCellAnchor>
    <xdr:from>
      <xdr:col>2</xdr:col>
      <xdr:colOff>854075</xdr:colOff>
      <xdr:row>1</xdr:row>
      <xdr:rowOff>152401</xdr:rowOff>
    </xdr:from>
    <xdr:to>
      <xdr:col>3</xdr:col>
      <xdr:colOff>733425</xdr:colOff>
      <xdr:row>3</xdr:row>
      <xdr:rowOff>130176</xdr:rowOff>
    </xdr:to>
    <xdr:sp macro="[0]!Email_Jeddah_Customer_LT60" textlink="">
      <xdr:nvSpPr>
        <xdr:cNvPr id="8" name="Rectangle: Rounded Corners 7">
          <a:extLst>
            <a:ext uri="{FF2B5EF4-FFF2-40B4-BE49-F238E27FC236}">
              <a16:creationId xmlns:a16="http://schemas.microsoft.com/office/drawing/2014/main" id="{00000000-0008-0000-0500-000008000000}"/>
            </a:ext>
          </a:extLst>
        </xdr:cNvPr>
        <xdr:cNvSpPr/>
      </xdr:nvSpPr>
      <xdr:spPr>
        <a:xfrm>
          <a:off x="2540000" y="390526"/>
          <a:ext cx="974725" cy="358775"/>
        </a:xfrm>
        <a:prstGeom prst="roundRect">
          <a:avLst>
            <a:gd name="adj" fmla="val 50000"/>
          </a:avLst>
        </a:prstGeom>
        <a:solidFill>
          <a:schemeClr val="bg1">
            <a:lumMod val="95000"/>
          </a:schemeClr>
        </a:solidFill>
        <a:ln>
          <a:solidFill>
            <a:schemeClr val="accent1"/>
          </a:solid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1100" b="1" kern="300" spc="50" baseline="0">
              <a:solidFill>
                <a:sysClr val="windowText" lastClr="000000"/>
              </a:solidFill>
              <a:effectLst/>
              <a:latin typeface="+mn-lt"/>
              <a:ea typeface="+mn-ea"/>
              <a:cs typeface="+mn-cs"/>
            </a:rPr>
            <a:t>Send Email</a:t>
          </a:r>
        </a:p>
      </xdr:txBody>
    </xdr:sp>
    <xdr:clientData/>
  </xdr:twoCellAnchor>
  <xdr:twoCellAnchor>
    <xdr:from>
      <xdr:col>5</xdr:col>
      <xdr:colOff>371475</xdr:colOff>
      <xdr:row>1</xdr:row>
      <xdr:rowOff>47625</xdr:rowOff>
    </xdr:from>
    <xdr:to>
      <xdr:col>6</xdr:col>
      <xdr:colOff>561975</xdr:colOff>
      <xdr:row>3</xdr:row>
      <xdr:rowOff>180975</xdr:rowOff>
    </xdr:to>
    <xdr:sp macro="[0]!NE_Riyadh_No_Email" textlink="">
      <xdr:nvSpPr>
        <xdr:cNvPr id="9" name="Rectangle: Rounded Corners 8">
          <a:hlinkClick xmlns:r="http://schemas.openxmlformats.org/officeDocument/2006/relationships" r:id="rId1"/>
          <a:extLst>
            <a:ext uri="{FF2B5EF4-FFF2-40B4-BE49-F238E27FC236}">
              <a16:creationId xmlns:a16="http://schemas.microsoft.com/office/drawing/2014/main" id="{00000000-0008-0000-0500-000009000000}"/>
            </a:ext>
          </a:extLst>
        </xdr:cNvPr>
        <xdr:cNvSpPr/>
      </xdr:nvSpPr>
      <xdr:spPr>
        <a:xfrm>
          <a:off x="6134100" y="285750"/>
          <a:ext cx="1285875" cy="514350"/>
        </a:xfrm>
        <a:prstGeom prst="roundRect">
          <a:avLst>
            <a:gd name="adj" fmla="val 50000"/>
          </a:avLst>
        </a:prstGeom>
        <a:solidFill>
          <a:schemeClr val="bg1">
            <a:lumMod val="95000"/>
          </a:schemeClr>
        </a:solidFill>
        <a:ln>
          <a:solidFill>
            <a:schemeClr val="accent1"/>
          </a:solid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1100" b="1" kern="300" spc="50" baseline="0">
              <a:solidFill>
                <a:sysClr val="windowText" lastClr="000000"/>
              </a:solidFill>
              <a:effectLst/>
              <a:latin typeface="+mn-lt"/>
              <a:ea typeface="+mn-ea"/>
              <a:cs typeface="+mn-cs"/>
            </a:rPr>
            <a:t>Open Email ID's File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144462</xdr:colOff>
      <xdr:row>1</xdr:row>
      <xdr:rowOff>155575</xdr:rowOff>
    </xdr:from>
    <xdr:to>
      <xdr:col>2</xdr:col>
      <xdr:colOff>657225</xdr:colOff>
      <xdr:row>3</xdr:row>
      <xdr:rowOff>134575</xdr:rowOff>
    </xdr:to>
    <xdr:sp macro="[0]!Generate_File_Dammam" textlink="">
      <xdr:nvSpPr>
        <xdr:cNvPr id="2" name="Rectangle: Rounded Corners 1">
          <a:extLst>
            <a:ext uri="{FF2B5EF4-FFF2-40B4-BE49-F238E27FC236}">
              <a16:creationId xmlns:a16="http://schemas.microsoft.com/office/drawing/2014/main" id="{00000000-0008-0000-0800-000002000000}"/>
            </a:ext>
          </a:extLst>
        </xdr:cNvPr>
        <xdr:cNvSpPr/>
      </xdr:nvSpPr>
      <xdr:spPr>
        <a:xfrm>
          <a:off x="1077912" y="393700"/>
          <a:ext cx="1217613" cy="360000"/>
        </a:xfrm>
        <a:prstGeom prst="roundRect">
          <a:avLst>
            <a:gd name="adj" fmla="val 50000"/>
          </a:avLst>
        </a:prstGeom>
        <a:solidFill>
          <a:schemeClr val="bg1">
            <a:lumMod val="95000"/>
          </a:schemeClr>
        </a:solidFill>
        <a:ln>
          <a:solidFill>
            <a:schemeClr val="accent1"/>
          </a:solid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1100" b="1" kern="300" spc="50" baseline="0">
              <a:solidFill>
                <a:sysClr val="windowText" lastClr="000000"/>
              </a:solidFill>
              <a:effectLst/>
              <a:latin typeface="+mn-lt"/>
              <a:ea typeface="+mn-ea"/>
              <a:cs typeface="+mn-cs"/>
            </a:rPr>
            <a:t>Generate File</a:t>
          </a:r>
        </a:p>
      </xdr:txBody>
    </xdr:sp>
    <xdr:clientData/>
  </xdr:twoCellAnchor>
  <xdr:twoCellAnchor>
    <xdr:from>
      <xdr:col>0</xdr:col>
      <xdr:colOff>0</xdr:colOff>
      <xdr:row>2</xdr:row>
      <xdr:rowOff>9525</xdr:rowOff>
    </xdr:from>
    <xdr:to>
      <xdr:col>0</xdr:col>
      <xdr:colOff>857250</xdr:colOff>
      <xdr:row>3</xdr:row>
      <xdr:rowOff>179025</xdr:rowOff>
    </xdr:to>
    <xdr:sp macro="[0]!Visible_Main_File" textlink="">
      <xdr:nvSpPr>
        <xdr:cNvPr id="3" name="Rectangle: Rounded Corners 2">
          <a:extLst>
            <a:ext uri="{FF2B5EF4-FFF2-40B4-BE49-F238E27FC236}">
              <a16:creationId xmlns:a16="http://schemas.microsoft.com/office/drawing/2014/main" id="{00000000-0008-0000-0800-000003000000}"/>
            </a:ext>
          </a:extLst>
        </xdr:cNvPr>
        <xdr:cNvSpPr/>
      </xdr:nvSpPr>
      <xdr:spPr>
        <a:xfrm>
          <a:off x="0" y="438150"/>
          <a:ext cx="857250" cy="360000"/>
        </a:xfrm>
        <a:prstGeom prst="roundRect">
          <a:avLst>
            <a:gd name="adj" fmla="val 40479"/>
          </a:avLst>
        </a:prstGeom>
        <a:solidFill>
          <a:schemeClr val="bg1">
            <a:lumMod val="95000"/>
          </a:schemeClr>
        </a:solidFill>
        <a:ln>
          <a:solidFill>
            <a:schemeClr val="accent1"/>
          </a:solid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1100" b="1" kern="300" spc="50" baseline="0">
              <a:solidFill>
                <a:sysClr val="windowText" lastClr="000000"/>
              </a:solidFill>
              <a:effectLst/>
              <a:latin typeface="+mn-lt"/>
              <a:ea typeface="+mn-ea"/>
              <a:cs typeface="+mn-cs"/>
            </a:rPr>
            <a:t>Main Page</a:t>
          </a:r>
        </a:p>
      </xdr:txBody>
    </xdr:sp>
    <xdr:clientData/>
  </xdr:twoCellAnchor>
  <xdr:twoCellAnchor>
    <xdr:from>
      <xdr:col>6</xdr:col>
      <xdr:colOff>704849</xdr:colOff>
      <xdr:row>1</xdr:row>
      <xdr:rowOff>28575</xdr:rowOff>
    </xdr:from>
    <xdr:to>
      <xdr:col>7</xdr:col>
      <xdr:colOff>514349</xdr:colOff>
      <xdr:row>3</xdr:row>
      <xdr:rowOff>165100</xdr:rowOff>
    </xdr:to>
    <xdr:sp macro="[0]!NE_Dammam_No_Email" textlink="">
      <xdr:nvSpPr>
        <xdr:cNvPr id="4" name="Rectangle: Rounded Corners 3">
          <a:extLst>
            <a:ext uri="{FF2B5EF4-FFF2-40B4-BE49-F238E27FC236}">
              <a16:creationId xmlns:a16="http://schemas.microsoft.com/office/drawing/2014/main" id="{00000000-0008-0000-0800-000004000000}"/>
            </a:ext>
          </a:extLst>
        </xdr:cNvPr>
        <xdr:cNvSpPr/>
      </xdr:nvSpPr>
      <xdr:spPr>
        <a:xfrm>
          <a:off x="7781924" y="266700"/>
          <a:ext cx="1257300" cy="517525"/>
        </a:xfrm>
        <a:prstGeom prst="roundRect">
          <a:avLst>
            <a:gd name="adj" fmla="val 50000"/>
          </a:avLst>
        </a:prstGeom>
        <a:solidFill>
          <a:schemeClr val="bg1">
            <a:lumMod val="95000"/>
          </a:schemeClr>
        </a:solidFill>
        <a:ln>
          <a:solidFill>
            <a:schemeClr val="accent1"/>
          </a:solid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1100" b="1" kern="300" spc="50" baseline="0">
              <a:solidFill>
                <a:sysClr val="windowText" lastClr="000000"/>
              </a:solidFill>
              <a:effectLst/>
              <a:latin typeface="+mn-lt"/>
              <a:ea typeface="+mn-ea"/>
              <a:cs typeface="+mn-cs"/>
            </a:rPr>
            <a:t>Send for Email ID's</a:t>
          </a:r>
        </a:p>
      </xdr:txBody>
    </xdr:sp>
    <xdr:clientData/>
  </xdr:twoCellAnchor>
  <xdr:twoCellAnchor>
    <xdr:from>
      <xdr:col>2</xdr:col>
      <xdr:colOff>714375</xdr:colOff>
      <xdr:row>1</xdr:row>
      <xdr:rowOff>152401</xdr:rowOff>
    </xdr:from>
    <xdr:to>
      <xdr:col>3</xdr:col>
      <xdr:colOff>666750</xdr:colOff>
      <xdr:row>3</xdr:row>
      <xdr:rowOff>130176</xdr:rowOff>
    </xdr:to>
    <xdr:sp macro="[0]!Email_Dammam_Customer_LT60" textlink="">
      <xdr:nvSpPr>
        <xdr:cNvPr id="5" name="Rectangle: Rounded Corners 4">
          <a:extLst>
            <a:ext uri="{FF2B5EF4-FFF2-40B4-BE49-F238E27FC236}">
              <a16:creationId xmlns:a16="http://schemas.microsoft.com/office/drawing/2014/main" id="{00000000-0008-0000-0800-000005000000}"/>
            </a:ext>
          </a:extLst>
        </xdr:cNvPr>
        <xdr:cNvSpPr/>
      </xdr:nvSpPr>
      <xdr:spPr>
        <a:xfrm>
          <a:off x="2352675" y="390526"/>
          <a:ext cx="1047750" cy="358775"/>
        </a:xfrm>
        <a:prstGeom prst="roundRect">
          <a:avLst>
            <a:gd name="adj" fmla="val 50000"/>
          </a:avLst>
        </a:prstGeom>
        <a:solidFill>
          <a:schemeClr val="bg1">
            <a:lumMod val="95000"/>
          </a:schemeClr>
        </a:solidFill>
        <a:ln>
          <a:solidFill>
            <a:schemeClr val="accent1"/>
          </a:solid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1100" b="1" kern="300" spc="50" baseline="0">
              <a:solidFill>
                <a:sysClr val="windowText" lastClr="000000"/>
              </a:solidFill>
              <a:effectLst/>
              <a:latin typeface="+mn-lt"/>
              <a:ea typeface="+mn-ea"/>
              <a:cs typeface="+mn-cs"/>
            </a:rPr>
            <a:t>Send Email</a:t>
          </a:r>
        </a:p>
      </xdr:txBody>
    </xdr:sp>
    <xdr:clientData/>
  </xdr:twoCellAnchor>
  <xdr:twoCellAnchor>
    <xdr:from>
      <xdr:col>5</xdr:col>
      <xdr:colOff>238125</xdr:colOff>
      <xdr:row>1</xdr:row>
      <xdr:rowOff>66674</xdr:rowOff>
    </xdr:from>
    <xdr:to>
      <xdr:col>6</xdr:col>
      <xdr:colOff>641349</xdr:colOff>
      <xdr:row>3</xdr:row>
      <xdr:rowOff>142875</xdr:rowOff>
    </xdr:to>
    <xdr:sp macro="[0]!NE_Riyadh_No_Email" textlink="">
      <xdr:nvSpPr>
        <xdr:cNvPr id="6" name="Rectangle: Rounded Corners 5">
          <a:hlinkClick xmlns:r="http://schemas.openxmlformats.org/officeDocument/2006/relationships" r:id="rId1"/>
          <a:extLst>
            <a:ext uri="{FF2B5EF4-FFF2-40B4-BE49-F238E27FC236}">
              <a16:creationId xmlns:a16="http://schemas.microsoft.com/office/drawing/2014/main" id="{00000000-0008-0000-0800-000006000000}"/>
            </a:ext>
          </a:extLst>
        </xdr:cNvPr>
        <xdr:cNvSpPr/>
      </xdr:nvSpPr>
      <xdr:spPr>
        <a:xfrm>
          <a:off x="6219825" y="304799"/>
          <a:ext cx="1498599" cy="457201"/>
        </a:xfrm>
        <a:prstGeom prst="roundRect">
          <a:avLst>
            <a:gd name="adj" fmla="val 50000"/>
          </a:avLst>
        </a:prstGeom>
        <a:solidFill>
          <a:schemeClr val="bg1">
            <a:lumMod val="95000"/>
          </a:schemeClr>
        </a:solidFill>
        <a:ln>
          <a:solidFill>
            <a:schemeClr val="accent1"/>
          </a:solid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1100" b="1" kern="300" spc="50" baseline="0">
              <a:solidFill>
                <a:sysClr val="windowText" lastClr="000000"/>
              </a:solidFill>
              <a:effectLst/>
              <a:latin typeface="+mn-lt"/>
              <a:ea typeface="+mn-ea"/>
              <a:cs typeface="+mn-cs"/>
            </a:rPr>
            <a:t>Open Email ID's File</a:t>
          </a:r>
        </a:p>
      </xdr:txBody>
    </xdr:sp>
    <xdr:clientData/>
  </xdr:twoCellAnchor>
  <xdr:twoCellAnchor>
    <xdr:from>
      <xdr:col>0</xdr:col>
      <xdr:colOff>9525</xdr:colOff>
      <xdr:row>0</xdr:row>
      <xdr:rowOff>0</xdr:rowOff>
    </xdr:from>
    <xdr:to>
      <xdr:col>0</xdr:col>
      <xdr:colOff>866773</xdr:colOff>
      <xdr:row>1</xdr:row>
      <xdr:rowOff>147763</xdr:rowOff>
    </xdr:to>
    <xdr:sp macro="[0]!Refresh_All" textlink="">
      <xdr:nvSpPr>
        <xdr:cNvPr id="7" name="Rectangle: Rounded Corners 6">
          <a:extLst>
            <a:ext uri="{FF2B5EF4-FFF2-40B4-BE49-F238E27FC236}">
              <a16:creationId xmlns:a16="http://schemas.microsoft.com/office/drawing/2014/main" id="{00000000-0008-0000-0800-000007000000}"/>
            </a:ext>
          </a:extLst>
        </xdr:cNvPr>
        <xdr:cNvSpPr/>
      </xdr:nvSpPr>
      <xdr:spPr>
        <a:xfrm>
          <a:off x="9525" y="0"/>
          <a:ext cx="857248" cy="385888"/>
        </a:xfrm>
        <a:prstGeom prst="roundRect">
          <a:avLst>
            <a:gd name="adj" fmla="val 41350"/>
          </a:avLst>
        </a:prstGeom>
        <a:solidFill>
          <a:schemeClr val="bg1">
            <a:lumMod val="95000"/>
          </a:schemeClr>
        </a:solidFill>
        <a:ln>
          <a:solidFill>
            <a:schemeClr val="accent1"/>
          </a:solid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1100" b="1" kern="300" spc="50" baseline="0">
              <a:solidFill>
                <a:sysClr val="windowText" lastClr="000000"/>
              </a:solidFill>
              <a:effectLst/>
              <a:latin typeface="+mn-lt"/>
              <a:ea typeface="+mn-ea"/>
              <a:cs typeface="+mn-cs"/>
            </a:rPr>
            <a:t>Refresh Data</a:t>
          </a:r>
        </a:p>
      </xdr:txBody>
    </xdr:sp>
    <xdr:clientData/>
  </xdr:twoCellAnchor>
  <mc:AlternateContent xmlns:mc="http://schemas.openxmlformats.org/markup-compatibility/2006">
    <mc:Choice xmlns:a14="http://schemas.microsoft.com/office/drawing/2010/main" Requires="a14">
      <xdr:twoCellAnchor editAs="oneCell">
        <xdr:from>
          <xdr:col>3</xdr:col>
          <xdr:colOff>942975</xdr:colOff>
          <xdr:row>1</xdr:row>
          <xdr:rowOff>28575</xdr:rowOff>
        </xdr:from>
        <xdr:to>
          <xdr:col>3</xdr:col>
          <xdr:colOff>2419350</xdr:colOff>
          <xdr:row>2</xdr:row>
          <xdr:rowOff>114300</xdr:rowOff>
        </xdr:to>
        <xdr:sp macro="" textlink="">
          <xdr:nvSpPr>
            <xdr:cNvPr id="5121" name="Check Box 1" hidden="1">
              <a:extLst>
                <a:ext uri="{63B3BB69-23CF-44E3-9099-C40C66FF867C}">
                  <a14:compatExt spid="_x0000_s5121"/>
                </a:ext>
                <a:ext uri="{FF2B5EF4-FFF2-40B4-BE49-F238E27FC236}">
                  <a16:creationId xmlns:a16="http://schemas.microsoft.com/office/drawing/2014/main" id="{00000000-0008-0000-0800-00000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Only Available Emails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942975</xdr:colOff>
          <xdr:row>2</xdr:row>
          <xdr:rowOff>76200</xdr:rowOff>
        </xdr:from>
        <xdr:to>
          <xdr:col>3</xdr:col>
          <xdr:colOff>2419350</xdr:colOff>
          <xdr:row>3</xdr:row>
          <xdr:rowOff>161925</xdr:rowOff>
        </xdr:to>
        <xdr:sp macro="" textlink="">
          <xdr:nvSpPr>
            <xdr:cNvPr id="5122" name="Check Box 2" hidden="1">
              <a:extLst>
                <a:ext uri="{63B3BB69-23CF-44E3-9099-C40C66FF867C}">
                  <a14:compatExt spid="_x0000_s5122"/>
                </a:ext>
                <a:ext uri="{FF2B5EF4-FFF2-40B4-BE49-F238E27FC236}">
                  <a16:creationId xmlns:a16="http://schemas.microsoft.com/office/drawing/2014/main" id="{00000000-0008-0000-0800-00000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Country Head Escalation</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8</xdr:col>
      <xdr:colOff>666750</xdr:colOff>
      <xdr:row>0</xdr:row>
      <xdr:rowOff>114300</xdr:rowOff>
    </xdr:from>
    <xdr:to>
      <xdr:col>9</xdr:col>
      <xdr:colOff>733425</xdr:colOff>
      <xdr:row>2</xdr:row>
      <xdr:rowOff>95250</xdr:rowOff>
    </xdr:to>
    <xdr:sp macro="[0]!Esc_Riyadh_Escalation" textlink="">
      <xdr:nvSpPr>
        <xdr:cNvPr id="2" name="Rectangle: Rounded Corners 1">
          <a:extLst>
            <a:ext uri="{FF2B5EF4-FFF2-40B4-BE49-F238E27FC236}">
              <a16:creationId xmlns:a16="http://schemas.microsoft.com/office/drawing/2014/main" id="{00000000-0008-0000-0C00-000002000000}"/>
            </a:ext>
          </a:extLst>
        </xdr:cNvPr>
        <xdr:cNvSpPr/>
      </xdr:nvSpPr>
      <xdr:spPr>
        <a:xfrm>
          <a:off x="9391650" y="114300"/>
          <a:ext cx="1104900" cy="438150"/>
        </a:xfrm>
        <a:prstGeom prst="roundRect">
          <a:avLst>
            <a:gd name="adj" fmla="val 50000"/>
          </a:avLst>
        </a:prstGeom>
        <a:solidFill>
          <a:schemeClr val="bg1">
            <a:lumMod val="95000"/>
          </a:schemeClr>
        </a:solidFill>
        <a:ln>
          <a:solidFill>
            <a:schemeClr val="accent1"/>
          </a:solid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1100" b="1" kern="300" spc="50" baseline="0">
              <a:solidFill>
                <a:sysClr val="windowText" lastClr="000000"/>
              </a:solidFill>
              <a:effectLst/>
              <a:latin typeface="+mn-lt"/>
              <a:ea typeface="+mn-ea"/>
              <a:cs typeface="+mn-cs"/>
            </a:rPr>
            <a:t>Send Email</a:t>
          </a:r>
        </a:p>
      </xdr:txBody>
    </xdr:sp>
    <xdr:clientData/>
  </xdr:twoCellAnchor>
  <xdr:oneCellAnchor>
    <xdr:from>
      <xdr:col>10</xdr:col>
      <xdr:colOff>85726</xdr:colOff>
      <xdr:row>0</xdr:row>
      <xdr:rowOff>9525</xdr:rowOff>
    </xdr:from>
    <xdr:ext cx="1476374" cy="609013"/>
    <xdr:sp macro="" textlink="">
      <xdr:nvSpPr>
        <xdr:cNvPr id="3" name="TextBox 2">
          <a:extLst>
            <a:ext uri="{FF2B5EF4-FFF2-40B4-BE49-F238E27FC236}">
              <a16:creationId xmlns:a16="http://schemas.microsoft.com/office/drawing/2014/main" id="{00000000-0008-0000-0C00-000003000000}"/>
            </a:ext>
          </a:extLst>
        </xdr:cNvPr>
        <xdr:cNvSpPr txBox="1"/>
      </xdr:nvSpPr>
      <xdr:spPr>
        <a:xfrm>
          <a:off x="8982076" y="9525"/>
          <a:ext cx="1476374" cy="609013"/>
        </a:xfrm>
        <a:prstGeom prst="wedgeRectCallout">
          <a:avLst>
            <a:gd name="adj1" fmla="val -55672"/>
            <a:gd name="adj2" fmla="val 6196"/>
          </a:avLst>
        </a:prstGeom>
        <a:solidFill>
          <a:schemeClr val="bg1">
            <a:lumMod val="8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IN" sz="1100"/>
            <a:t>Also, Click to send  mail if</a:t>
          </a:r>
          <a:r>
            <a:rPr lang="en-IN" sz="1100" baseline="0"/>
            <a:t> no records are found.</a:t>
          </a:r>
          <a:endParaRPr lang="en-IN" sz="1100"/>
        </a:p>
      </xdr:txBody>
    </xdr:sp>
    <xdr:clientData/>
  </xdr:oneCellAnchor>
  <xdr:twoCellAnchor>
    <xdr:from>
      <xdr:col>0</xdr:col>
      <xdr:colOff>600075</xdr:colOff>
      <xdr:row>0</xdr:row>
      <xdr:rowOff>114300</xdr:rowOff>
    </xdr:from>
    <xdr:to>
      <xdr:col>2</xdr:col>
      <xdr:colOff>419100</xdr:colOff>
      <xdr:row>2</xdr:row>
      <xdr:rowOff>15875</xdr:rowOff>
    </xdr:to>
    <xdr:sp macro="[0]!Visible_Main_File" textlink="">
      <xdr:nvSpPr>
        <xdr:cNvPr id="4" name="Rectangle: Rounded Corners 3">
          <a:extLst>
            <a:ext uri="{FF2B5EF4-FFF2-40B4-BE49-F238E27FC236}">
              <a16:creationId xmlns:a16="http://schemas.microsoft.com/office/drawing/2014/main" id="{00000000-0008-0000-0C00-000004000000}"/>
            </a:ext>
          </a:extLst>
        </xdr:cNvPr>
        <xdr:cNvSpPr/>
      </xdr:nvSpPr>
      <xdr:spPr>
        <a:xfrm>
          <a:off x="600075" y="114300"/>
          <a:ext cx="1133475" cy="358775"/>
        </a:xfrm>
        <a:prstGeom prst="roundRect">
          <a:avLst>
            <a:gd name="adj" fmla="val 45871"/>
          </a:avLst>
        </a:prstGeom>
        <a:solidFill>
          <a:schemeClr val="bg1">
            <a:lumMod val="95000"/>
          </a:schemeClr>
        </a:solidFill>
        <a:ln>
          <a:solidFill>
            <a:schemeClr val="accent1"/>
          </a:solid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1100" b="1" kern="300" spc="50" baseline="0">
              <a:solidFill>
                <a:sysClr val="windowText" lastClr="000000"/>
              </a:solidFill>
              <a:effectLst/>
              <a:latin typeface="+mn-lt"/>
              <a:ea typeface="+mn-ea"/>
              <a:cs typeface="+mn-cs"/>
            </a:rPr>
            <a:t>Main Page</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8</xdr:col>
      <xdr:colOff>257175</xdr:colOff>
      <xdr:row>0</xdr:row>
      <xdr:rowOff>209550</xdr:rowOff>
    </xdr:from>
    <xdr:to>
      <xdr:col>9</xdr:col>
      <xdr:colOff>361950</xdr:colOff>
      <xdr:row>2</xdr:row>
      <xdr:rowOff>149225</xdr:rowOff>
    </xdr:to>
    <xdr:sp macro="[0]!Esc_Dammam_Escalation" textlink="">
      <xdr:nvSpPr>
        <xdr:cNvPr id="2" name="Rectangle: Rounded Corners 1">
          <a:extLst>
            <a:ext uri="{FF2B5EF4-FFF2-40B4-BE49-F238E27FC236}">
              <a16:creationId xmlns:a16="http://schemas.microsoft.com/office/drawing/2014/main" id="{00000000-0008-0000-0D00-000002000000}"/>
            </a:ext>
          </a:extLst>
        </xdr:cNvPr>
        <xdr:cNvSpPr/>
      </xdr:nvSpPr>
      <xdr:spPr>
        <a:xfrm>
          <a:off x="7200900" y="209550"/>
          <a:ext cx="1066800" cy="358775"/>
        </a:xfrm>
        <a:prstGeom prst="roundRect">
          <a:avLst>
            <a:gd name="adj" fmla="val 50000"/>
          </a:avLst>
        </a:prstGeom>
        <a:solidFill>
          <a:schemeClr val="bg1">
            <a:lumMod val="95000"/>
          </a:schemeClr>
        </a:solidFill>
        <a:ln>
          <a:solidFill>
            <a:schemeClr val="accent1"/>
          </a:solid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1100" b="1" kern="300" spc="50" baseline="0">
              <a:solidFill>
                <a:sysClr val="windowText" lastClr="000000"/>
              </a:solidFill>
              <a:effectLst/>
              <a:latin typeface="+mn-lt"/>
              <a:ea typeface="+mn-ea"/>
              <a:cs typeface="+mn-cs"/>
            </a:rPr>
            <a:t>Send Email</a:t>
          </a:r>
        </a:p>
      </xdr:txBody>
    </xdr:sp>
    <xdr:clientData/>
  </xdr:twoCellAnchor>
  <xdr:oneCellAnchor>
    <xdr:from>
      <xdr:col>9</xdr:col>
      <xdr:colOff>714375</xdr:colOff>
      <xdr:row>0</xdr:row>
      <xdr:rowOff>0</xdr:rowOff>
    </xdr:from>
    <xdr:ext cx="1476374" cy="609013"/>
    <xdr:sp macro="" textlink="">
      <xdr:nvSpPr>
        <xdr:cNvPr id="3" name="TextBox 2">
          <a:extLst>
            <a:ext uri="{FF2B5EF4-FFF2-40B4-BE49-F238E27FC236}">
              <a16:creationId xmlns:a16="http://schemas.microsoft.com/office/drawing/2014/main" id="{00000000-0008-0000-0D00-000003000000}"/>
            </a:ext>
          </a:extLst>
        </xdr:cNvPr>
        <xdr:cNvSpPr txBox="1"/>
      </xdr:nvSpPr>
      <xdr:spPr>
        <a:xfrm>
          <a:off x="9315450" y="0"/>
          <a:ext cx="1476374" cy="609013"/>
        </a:xfrm>
        <a:prstGeom prst="wedgeRectCallout">
          <a:avLst>
            <a:gd name="adj1" fmla="val -69220"/>
            <a:gd name="adj2" fmla="val 4632"/>
          </a:avLst>
        </a:prstGeom>
        <a:solidFill>
          <a:schemeClr val="bg1">
            <a:lumMod val="8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IN" sz="1100"/>
            <a:t>Also, Click to send  mail if</a:t>
          </a:r>
          <a:r>
            <a:rPr lang="en-IN" sz="1100" baseline="0"/>
            <a:t> no records are found.</a:t>
          </a:r>
          <a:endParaRPr lang="en-IN" sz="1100"/>
        </a:p>
      </xdr:txBody>
    </xdr:sp>
    <xdr:clientData/>
  </xdr:oneCellAnchor>
  <xdr:twoCellAnchor>
    <xdr:from>
      <xdr:col>0</xdr:col>
      <xdr:colOff>609599</xdr:colOff>
      <xdr:row>0</xdr:row>
      <xdr:rowOff>190500</xdr:rowOff>
    </xdr:from>
    <xdr:to>
      <xdr:col>2</xdr:col>
      <xdr:colOff>447674</xdr:colOff>
      <xdr:row>2</xdr:row>
      <xdr:rowOff>130175</xdr:rowOff>
    </xdr:to>
    <xdr:sp macro="[0]!Visible_Main_File" textlink="">
      <xdr:nvSpPr>
        <xdr:cNvPr id="4" name="Rectangle: Rounded Corners 3">
          <a:extLst>
            <a:ext uri="{FF2B5EF4-FFF2-40B4-BE49-F238E27FC236}">
              <a16:creationId xmlns:a16="http://schemas.microsoft.com/office/drawing/2014/main" id="{00000000-0008-0000-0D00-000004000000}"/>
            </a:ext>
          </a:extLst>
        </xdr:cNvPr>
        <xdr:cNvSpPr/>
      </xdr:nvSpPr>
      <xdr:spPr>
        <a:xfrm>
          <a:off x="609599" y="190500"/>
          <a:ext cx="1152525" cy="358775"/>
        </a:xfrm>
        <a:prstGeom prst="roundRect">
          <a:avLst>
            <a:gd name="adj" fmla="val 50000"/>
          </a:avLst>
        </a:prstGeom>
        <a:solidFill>
          <a:schemeClr val="bg1">
            <a:lumMod val="95000"/>
          </a:schemeClr>
        </a:solidFill>
        <a:ln>
          <a:solidFill>
            <a:schemeClr val="accent1"/>
          </a:solid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1100" b="1" kern="300" spc="50" baseline="0">
              <a:solidFill>
                <a:sysClr val="windowText" lastClr="000000"/>
              </a:solidFill>
              <a:effectLst/>
              <a:latin typeface="+mn-lt"/>
              <a:ea typeface="+mn-ea"/>
              <a:cs typeface="+mn-cs"/>
            </a:rPr>
            <a:t>Main Page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8</xdr:col>
      <xdr:colOff>9525</xdr:colOff>
      <xdr:row>0</xdr:row>
      <xdr:rowOff>152400</xdr:rowOff>
    </xdr:from>
    <xdr:to>
      <xdr:col>9</xdr:col>
      <xdr:colOff>381000</xdr:colOff>
      <xdr:row>2</xdr:row>
      <xdr:rowOff>92075</xdr:rowOff>
    </xdr:to>
    <xdr:sp macro="[0]!Esc_Jeddah_Escalation" textlink="">
      <xdr:nvSpPr>
        <xdr:cNvPr id="2" name="Rectangle: Rounded Corners 1">
          <a:extLst>
            <a:ext uri="{FF2B5EF4-FFF2-40B4-BE49-F238E27FC236}">
              <a16:creationId xmlns:a16="http://schemas.microsoft.com/office/drawing/2014/main" id="{00000000-0008-0000-0E00-000002000000}"/>
            </a:ext>
          </a:extLst>
        </xdr:cNvPr>
        <xdr:cNvSpPr/>
      </xdr:nvSpPr>
      <xdr:spPr>
        <a:xfrm>
          <a:off x="8105775" y="152400"/>
          <a:ext cx="1114425" cy="358775"/>
        </a:xfrm>
        <a:prstGeom prst="roundRect">
          <a:avLst>
            <a:gd name="adj" fmla="val 43216"/>
          </a:avLst>
        </a:prstGeom>
        <a:solidFill>
          <a:schemeClr val="bg1">
            <a:lumMod val="95000"/>
          </a:schemeClr>
        </a:solidFill>
        <a:ln>
          <a:solidFill>
            <a:schemeClr val="accent1"/>
          </a:solid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1100" b="1" kern="300" spc="50" baseline="0">
              <a:solidFill>
                <a:sysClr val="windowText" lastClr="000000"/>
              </a:solidFill>
              <a:effectLst/>
              <a:latin typeface="+mn-lt"/>
              <a:ea typeface="+mn-ea"/>
              <a:cs typeface="+mn-cs"/>
            </a:rPr>
            <a:t>Send Email</a:t>
          </a:r>
        </a:p>
      </xdr:txBody>
    </xdr:sp>
    <xdr:clientData/>
  </xdr:twoCellAnchor>
  <xdr:oneCellAnchor>
    <xdr:from>
      <xdr:col>9</xdr:col>
      <xdr:colOff>571501</xdr:colOff>
      <xdr:row>0</xdr:row>
      <xdr:rowOff>104775</xdr:rowOff>
    </xdr:from>
    <xdr:ext cx="1476374" cy="609013"/>
    <xdr:sp macro="" textlink="">
      <xdr:nvSpPr>
        <xdr:cNvPr id="3" name="TextBox 2">
          <a:extLst>
            <a:ext uri="{FF2B5EF4-FFF2-40B4-BE49-F238E27FC236}">
              <a16:creationId xmlns:a16="http://schemas.microsoft.com/office/drawing/2014/main" id="{00000000-0008-0000-0E00-000003000000}"/>
            </a:ext>
          </a:extLst>
        </xdr:cNvPr>
        <xdr:cNvSpPr txBox="1"/>
      </xdr:nvSpPr>
      <xdr:spPr>
        <a:xfrm>
          <a:off x="8258176" y="104775"/>
          <a:ext cx="1476374" cy="609013"/>
        </a:xfrm>
        <a:prstGeom prst="wedgeRectCallout">
          <a:avLst>
            <a:gd name="adj1" fmla="val -59543"/>
            <a:gd name="adj2" fmla="val 6196"/>
          </a:avLst>
        </a:prstGeom>
        <a:solidFill>
          <a:schemeClr val="bg1">
            <a:lumMod val="8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IN" sz="1100"/>
            <a:t>Also, Click to send  mail if</a:t>
          </a:r>
          <a:r>
            <a:rPr lang="en-IN" sz="1100" baseline="0"/>
            <a:t> no records are found.</a:t>
          </a:r>
          <a:endParaRPr lang="en-IN" sz="1100"/>
        </a:p>
      </xdr:txBody>
    </xdr:sp>
    <xdr:clientData/>
  </xdr:oneCellAnchor>
  <xdr:twoCellAnchor>
    <xdr:from>
      <xdr:col>0</xdr:col>
      <xdr:colOff>590550</xdr:colOff>
      <xdr:row>0</xdr:row>
      <xdr:rowOff>123825</xdr:rowOff>
    </xdr:from>
    <xdr:to>
      <xdr:col>2</xdr:col>
      <xdr:colOff>390525</xdr:colOff>
      <xdr:row>2</xdr:row>
      <xdr:rowOff>63500</xdr:rowOff>
    </xdr:to>
    <xdr:sp macro="[0]!Visible_Main_File" textlink="">
      <xdr:nvSpPr>
        <xdr:cNvPr id="4" name="Rectangle: Rounded Corners 3">
          <a:extLst>
            <a:ext uri="{FF2B5EF4-FFF2-40B4-BE49-F238E27FC236}">
              <a16:creationId xmlns:a16="http://schemas.microsoft.com/office/drawing/2014/main" id="{00000000-0008-0000-0E00-000004000000}"/>
            </a:ext>
          </a:extLst>
        </xdr:cNvPr>
        <xdr:cNvSpPr/>
      </xdr:nvSpPr>
      <xdr:spPr>
        <a:xfrm>
          <a:off x="590550" y="123825"/>
          <a:ext cx="1114425" cy="358775"/>
        </a:xfrm>
        <a:prstGeom prst="roundRect">
          <a:avLst>
            <a:gd name="adj" fmla="val 50000"/>
          </a:avLst>
        </a:prstGeom>
        <a:solidFill>
          <a:schemeClr val="bg1">
            <a:lumMod val="95000"/>
          </a:schemeClr>
        </a:solidFill>
        <a:ln>
          <a:solidFill>
            <a:schemeClr val="accent1"/>
          </a:solid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1100" b="1" kern="300" spc="50" baseline="0">
              <a:solidFill>
                <a:sysClr val="windowText" lastClr="000000"/>
              </a:solidFill>
              <a:effectLst/>
              <a:latin typeface="+mn-lt"/>
              <a:ea typeface="+mn-ea"/>
              <a:cs typeface="+mn-cs"/>
            </a:rPr>
            <a:t>Main Page</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6</xdr:col>
      <xdr:colOff>790575</xdr:colOff>
      <xdr:row>0</xdr:row>
      <xdr:rowOff>152400</xdr:rowOff>
    </xdr:from>
    <xdr:to>
      <xdr:col>7</xdr:col>
      <xdr:colOff>457200</xdr:colOff>
      <xdr:row>2</xdr:row>
      <xdr:rowOff>92075</xdr:rowOff>
    </xdr:to>
    <xdr:sp macro="[0]!Super_Escalation" textlink="">
      <xdr:nvSpPr>
        <xdr:cNvPr id="4" name="Rectangle: Rounded Corners 3">
          <a:extLst>
            <a:ext uri="{FF2B5EF4-FFF2-40B4-BE49-F238E27FC236}">
              <a16:creationId xmlns:a16="http://schemas.microsoft.com/office/drawing/2014/main" id="{00000000-0008-0000-0F00-000004000000}"/>
            </a:ext>
          </a:extLst>
        </xdr:cNvPr>
        <xdr:cNvSpPr/>
      </xdr:nvSpPr>
      <xdr:spPr>
        <a:xfrm>
          <a:off x="8343900" y="152400"/>
          <a:ext cx="1114425" cy="358775"/>
        </a:xfrm>
        <a:prstGeom prst="roundRect">
          <a:avLst>
            <a:gd name="adj" fmla="val 50000"/>
          </a:avLst>
        </a:prstGeom>
        <a:solidFill>
          <a:schemeClr val="bg1">
            <a:lumMod val="95000"/>
          </a:schemeClr>
        </a:solidFill>
        <a:ln>
          <a:solidFill>
            <a:schemeClr val="accent1"/>
          </a:solid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1100" b="1" kern="300" spc="50" baseline="0">
              <a:solidFill>
                <a:sysClr val="windowText" lastClr="000000"/>
              </a:solidFill>
              <a:effectLst/>
              <a:latin typeface="+mn-lt"/>
              <a:ea typeface="+mn-ea"/>
              <a:cs typeface="+mn-cs"/>
            </a:rPr>
            <a:t>Send Email</a:t>
          </a:r>
        </a:p>
      </xdr:txBody>
    </xdr:sp>
    <xdr:clientData/>
  </xdr:twoCellAnchor>
  <xdr:twoCellAnchor>
    <xdr:from>
      <xdr:col>1</xdr:col>
      <xdr:colOff>0</xdr:colOff>
      <xdr:row>0</xdr:row>
      <xdr:rowOff>133350</xdr:rowOff>
    </xdr:from>
    <xdr:to>
      <xdr:col>2</xdr:col>
      <xdr:colOff>209550</xdr:colOff>
      <xdr:row>2</xdr:row>
      <xdr:rowOff>73025</xdr:rowOff>
    </xdr:to>
    <xdr:sp macro="[0]!Visible_Main_File" textlink="">
      <xdr:nvSpPr>
        <xdr:cNvPr id="2" name="Rectangle: Rounded Corners 1">
          <a:extLst>
            <a:ext uri="{FF2B5EF4-FFF2-40B4-BE49-F238E27FC236}">
              <a16:creationId xmlns:a16="http://schemas.microsoft.com/office/drawing/2014/main" id="{00000000-0008-0000-0F00-000002000000}"/>
            </a:ext>
          </a:extLst>
        </xdr:cNvPr>
        <xdr:cNvSpPr/>
      </xdr:nvSpPr>
      <xdr:spPr>
        <a:xfrm>
          <a:off x="609600" y="133350"/>
          <a:ext cx="914400" cy="358775"/>
        </a:xfrm>
        <a:prstGeom prst="roundRect">
          <a:avLst>
            <a:gd name="adj" fmla="val 37906"/>
          </a:avLst>
        </a:prstGeom>
        <a:solidFill>
          <a:schemeClr val="bg1">
            <a:lumMod val="95000"/>
          </a:schemeClr>
        </a:solidFill>
        <a:ln>
          <a:solidFill>
            <a:schemeClr val="accent1"/>
          </a:solid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IN" sz="1100" b="1" kern="300" spc="50" baseline="0">
              <a:solidFill>
                <a:sysClr val="windowText" lastClr="000000"/>
              </a:solidFill>
              <a:effectLst/>
              <a:latin typeface="+mn-lt"/>
              <a:ea typeface="+mn-ea"/>
              <a:cs typeface="+mn-cs"/>
            </a:rPr>
            <a:t>Main Page</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246530</xdr:colOff>
      <xdr:row>11</xdr:row>
      <xdr:rowOff>145674</xdr:rowOff>
    </xdr:from>
    <xdr:to>
      <xdr:col>1</xdr:col>
      <xdr:colOff>649941</xdr:colOff>
      <xdr:row>13</xdr:row>
      <xdr:rowOff>56030</xdr:rowOff>
    </xdr:to>
    <xdr:sp macro="[0]!Generate_MIS" textlink="">
      <xdr:nvSpPr>
        <xdr:cNvPr id="2" name="Rectangle: Rounded Corners 1">
          <a:extLst>
            <a:ext uri="{FF2B5EF4-FFF2-40B4-BE49-F238E27FC236}">
              <a16:creationId xmlns:a16="http://schemas.microsoft.com/office/drawing/2014/main" id="{00000000-0008-0000-1300-000002000000}"/>
            </a:ext>
          </a:extLst>
        </xdr:cNvPr>
        <xdr:cNvSpPr/>
      </xdr:nvSpPr>
      <xdr:spPr>
        <a:xfrm>
          <a:off x="246530" y="2241174"/>
          <a:ext cx="1098176" cy="291356"/>
        </a:xfrm>
        <a:prstGeom prst="roundRect">
          <a:avLst/>
        </a:prstGeom>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kern="300" spc="50" baseline="0">
              <a:effectLst>
                <a:outerShdw dist="76200" dir="5400000" algn="t" rotWithShape="0">
                  <a:prstClr val="black"/>
                </a:outerShdw>
              </a:effectLst>
            </a:rPr>
            <a:t>Generate MIS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0</xdr:colOff>
      <xdr:row>1</xdr:row>
      <xdr:rowOff>180975</xdr:rowOff>
    </xdr:from>
    <xdr:to>
      <xdr:col>8</xdr:col>
      <xdr:colOff>152401</xdr:colOff>
      <xdr:row>19</xdr:row>
      <xdr:rowOff>142874</xdr:rowOff>
    </xdr:to>
    <xdr:graphicFrame macro="">
      <xdr:nvGraphicFramePr>
        <xdr:cNvPr id="2" name="Chart 1">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28576</xdr:colOff>
      <xdr:row>1</xdr:row>
      <xdr:rowOff>161925</xdr:rowOff>
    </xdr:from>
    <xdr:to>
      <xdr:col>13</xdr:col>
      <xdr:colOff>257175</xdr:colOff>
      <xdr:row>16</xdr:row>
      <xdr:rowOff>47625</xdr:rowOff>
    </xdr:to>
    <xdr:graphicFrame macro="">
      <xdr:nvGraphicFramePr>
        <xdr:cNvPr id="4" name="Chart 3">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28575</xdr:colOff>
      <xdr:row>16</xdr:row>
      <xdr:rowOff>66675</xdr:rowOff>
    </xdr:from>
    <xdr:to>
      <xdr:col>13</xdr:col>
      <xdr:colOff>257775</xdr:colOff>
      <xdr:row>30</xdr:row>
      <xdr:rowOff>142875</xdr:rowOff>
    </xdr:to>
    <xdr:graphicFrame macro="">
      <xdr:nvGraphicFramePr>
        <xdr:cNvPr id="5" name="Chart 4">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285750</xdr:colOff>
      <xdr:row>1</xdr:row>
      <xdr:rowOff>161925</xdr:rowOff>
    </xdr:from>
    <xdr:to>
      <xdr:col>17</xdr:col>
      <xdr:colOff>514950</xdr:colOff>
      <xdr:row>16</xdr:row>
      <xdr:rowOff>47625</xdr:rowOff>
    </xdr:to>
    <xdr:graphicFrame macro="">
      <xdr:nvGraphicFramePr>
        <xdr:cNvPr id="6" name="Chart 5">
          <a:extLst>
            <a:ext uri="{FF2B5EF4-FFF2-40B4-BE49-F238E27FC236}">
              <a16:creationId xmlns:a16="http://schemas.microsoft.com/office/drawing/2014/main" id="{00000000-0008-0000-1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285750</xdr:colOff>
      <xdr:row>16</xdr:row>
      <xdr:rowOff>66675</xdr:rowOff>
    </xdr:from>
    <xdr:to>
      <xdr:col>17</xdr:col>
      <xdr:colOff>514950</xdr:colOff>
      <xdr:row>30</xdr:row>
      <xdr:rowOff>142875</xdr:rowOff>
    </xdr:to>
    <xdr:graphicFrame macro="">
      <xdr:nvGraphicFramePr>
        <xdr:cNvPr id="7" name="Chart 6">
          <a:extLst>
            <a:ext uri="{FF2B5EF4-FFF2-40B4-BE49-F238E27FC236}">
              <a16:creationId xmlns:a16="http://schemas.microsoft.com/office/drawing/2014/main" id="{00000000-0008-0000-1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542925</xdr:colOff>
      <xdr:row>1</xdr:row>
      <xdr:rowOff>152400</xdr:rowOff>
    </xdr:from>
    <xdr:to>
      <xdr:col>22</xdr:col>
      <xdr:colOff>162525</xdr:colOff>
      <xdr:row>16</xdr:row>
      <xdr:rowOff>38100</xdr:rowOff>
    </xdr:to>
    <xdr:graphicFrame macro="">
      <xdr:nvGraphicFramePr>
        <xdr:cNvPr id="8" name="Chart 7">
          <a:extLst>
            <a:ext uri="{FF2B5EF4-FFF2-40B4-BE49-F238E27FC236}">
              <a16:creationId xmlns:a16="http://schemas.microsoft.com/office/drawing/2014/main" id="{00000000-0008-0000-1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17</xdr:col>
      <xdr:colOff>552450</xdr:colOff>
      <xdr:row>16</xdr:row>
      <xdr:rowOff>66675</xdr:rowOff>
    </xdr:from>
    <xdr:to>
      <xdr:col>22</xdr:col>
      <xdr:colOff>172050</xdr:colOff>
      <xdr:row>30</xdr:row>
      <xdr:rowOff>142875</xdr:rowOff>
    </xdr:to>
    <xdr:graphicFrame macro="">
      <xdr:nvGraphicFramePr>
        <xdr:cNvPr id="9" name="Chart 8">
          <a:extLst>
            <a:ext uri="{FF2B5EF4-FFF2-40B4-BE49-F238E27FC236}">
              <a16:creationId xmlns:a16="http://schemas.microsoft.com/office/drawing/2014/main" id="{00000000-0008-0000-1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3</xdr:col>
      <xdr:colOff>114300</xdr:colOff>
      <xdr:row>0</xdr:row>
      <xdr:rowOff>85725</xdr:rowOff>
    </xdr:from>
    <xdr:ext cx="1645579" cy="338554"/>
    <xdr:sp macro="" textlink="">
      <xdr:nvSpPr>
        <xdr:cNvPr id="10" name="TextBox 9">
          <a:extLst>
            <a:ext uri="{FF2B5EF4-FFF2-40B4-BE49-F238E27FC236}">
              <a16:creationId xmlns:a16="http://schemas.microsoft.com/office/drawing/2014/main" id="{00000000-0008-0000-1400-00000A000000}"/>
            </a:ext>
          </a:extLst>
        </xdr:cNvPr>
        <xdr:cNvSpPr txBox="1"/>
      </xdr:nvSpPr>
      <xdr:spPr>
        <a:xfrm>
          <a:off x="1943100" y="85725"/>
          <a:ext cx="1645579" cy="3385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1600">
              <a:latin typeface="Lato Black" panose="020F0A02020204030203" pitchFamily="34" charset="0"/>
            </a:rPr>
            <a:t>DAILY</a:t>
          </a:r>
          <a:r>
            <a:rPr lang="en-IN" sz="1600" baseline="0">
              <a:latin typeface="Lato Black" panose="020F0A02020204030203" pitchFamily="34" charset="0"/>
            </a:rPr>
            <a:t> REPORT</a:t>
          </a:r>
          <a:endParaRPr lang="en-IN" sz="1600">
            <a:latin typeface="Lato Black" panose="020F0A02020204030203" pitchFamily="34" charset="0"/>
          </a:endParaRPr>
        </a:p>
      </xdr:txBody>
    </xdr:sp>
    <xdr:clientData/>
  </xdr:oneCellAnchor>
  <xdr:oneCellAnchor>
    <xdr:from>
      <xdr:col>13</xdr:col>
      <xdr:colOff>523875</xdr:colOff>
      <xdr:row>0</xdr:row>
      <xdr:rowOff>85725</xdr:rowOff>
    </xdr:from>
    <xdr:ext cx="1874616" cy="338554"/>
    <xdr:sp macro="" textlink="">
      <xdr:nvSpPr>
        <xdr:cNvPr id="11" name="TextBox 10">
          <a:extLst>
            <a:ext uri="{FF2B5EF4-FFF2-40B4-BE49-F238E27FC236}">
              <a16:creationId xmlns:a16="http://schemas.microsoft.com/office/drawing/2014/main" id="{00000000-0008-0000-1400-00000B000000}"/>
            </a:ext>
          </a:extLst>
        </xdr:cNvPr>
        <xdr:cNvSpPr txBox="1"/>
      </xdr:nvSpPr>
      <xdr:spPr>
        <a:xfrm>
          <a:off x="8448675" y="85725"/>
          <a:ext cx="1874616" cy="33855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IN" sz="1600">
              <a:latin typeface="Lato Black" panose="020F0A02020204030203" pitchFamily="34" charset="0"/>
            </a:rPr>
            <a:t>WEEKLY REPORT</a:t>
          </a:r>
        </a:p>
      </xdr:txBody>
    </xdr:sp>
    <xdr:clientData/>
  </xdr:one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43" xr16:uid="{11DCC303-93F5-41CA-A362-1711F4C11E16}" autoFormatId="16" applyNumberFormats="0" applyBorderFormats="0" applyFontFormats="0" applyPatternFormats="0" applyAlignmentFormats="0" applyWidthHeightFormats="0">
  <queryTableRefresh nextId="12">
    <queryTableFields count="7">
      <queryTableField id="3" name="APPL_ID" tableColumnId="3"/>
      <queryTableField id="2" name="DRAWING REF" tableColumnId="2"/>
      <queryTableField id="4" name="APPLICANT" tableColumnId="4"/>
      <queryTableField id="5" name="CCY" tableColumnId="5"/>
      <queryTableField id="6" name="DOC_AMOUNT" tableColumnId="6"/>
      <queryTableField id="8" name="TRANSACTION DATE" tableColumnId="8"/>
      <queryTableField id="9" name="Ageing" tableColumnId="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64" xr16:uid="{2E1F85F7-D360-4698-92E7-F463E19CA646}" autoFormatId="16" applyNumberFormats="0" applyBorderFormats="0" applyFontFormats="0" applyPatternFormats="0" applyAlignmentFormats="0" applyWidthHeightFormats="0">
  <queryTableRefresh nextId="4">
    <queryTableFields count="3">
      <queryTableField id="1" name="APPL_ID" tableColumnId="1"/>
      <queryTableField id="2" name="APPLICANT" tableColumnId="2"/>
      <queryTableField id="3" name="Email id's" tableColumnId="3"/>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2" xr16:uid="{658344B1-C60C-4F62-9B5B-AD35F2EDB48F}" autoFormatId="16" applyNumberFormats="0" applyBorderFormats="0" applyFontFormats="0" applyPatternFormats="0" applyAlignmentFormats="0" applyWidthHeightFormats="0">
  <queryTableRefresh nextId="4">
    <queryTableFields count="3">
      <queryTableField id="1" name="APPL_ID" tableColumnId="1"/>
      <queryTableField id="2" name="APPLICANT" tableColumnId="2"/>
      <queryTableField id="3" name="Email id's"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FC26CEE8-D244-43C3-9A0D-ABEDFACF3295}" autoFormatId="16" applyNumberFormats="0" applyBorderFormats="0" applyFontFormats="0" applyPatternFormats="0" applyAlignmentFormats="0" applyWidthHeightFormats="0">
  <queryTableRefresh nextId="11">
    <queryTableFields count="9">
      <queryTableField id="1" name="APPL_ID" tableColumnId="1"/>
      <queryTableField id="8" name="LC NUMBER" tableColumnId="8"/>
      <queryTableField id="2" name="DRAWING REF" tableColumnId="2"/>
      <queryTableField id="3" name="APPLICANT" tableColumnId="3"/>
      <queryTableField id="4" name="CCY" tableColumnId="4"/>
      <queryTableField id="5" name="DOC_AMOUNT" tableColumnId="5"/>
      <queryTableField id="6" name="TRANSACTION DATE" tableColumnId="6"/>
      <queryTableField id="7" name="Ageing" tableColumnId="7"/>
      <queryTableField id="10" name="Email id's" tableColumnId="9"/>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29" xr16:uid="{525B15A9-463D-44F2-8E3D-F511684F071F}" autoFormatId="16" applyNumberFormats="0" applyBorderFormats="0" applyFontFormats="0" applyPatternFormats="0" applyAlignmentFormats="0" applyWidthHeightFormats="0">
  <queryTableRefresh nextId="11">
    <queryTableFields count="7">
      <queryTableField id="1" name="APPL_ID" tableColumnId="1"/>
      <queryTableField id="3" name="DRAWING REF" tableColumnId="3"/>
      <queryTableField id="4" name="APPLICANT" tableColumnId="4"/>
      <queryTableField id="5" name="CCY" tableColumnId="5"/>
      <queryTableField id="6" name="DOC_AMOUNT" tableColumnId="6"/>
      <queryTableField id="8" name="TRANSACTION DATE" tableColumnId="8"/>
      <queryTableField id="9" name="Ageing" tableColumnId="9"/>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63" xr16:uid="{3BD34F82-D877-4272-A3BD-BBB328CC819C}" autoFormatId="16" applyNumberFormats="0" applyBorderFormats="0" applyFontFormats="0" applyPatternFormats="0" applyAlignmentFormats="0" applyWidthHeightFormats="0">
  <queryTableRefresh nextId="4">
    <queryTableFields count="3">
      <queryTableField id="1" name="APPL_ID" tableColumnId="1"/>
      <queryTableField id="2" name="APPLICANT" tableColumnId="2"/>
      <queryTableField id="3" name="Email id's" tableColumnId="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31" xr16:uid="{814D290B-D784-46CE-8FC9-BFE99D7341CC}" autoFormatId="16" applyNumberFormats="0" applyBorderFormats="0" applyFontFormats="0" applyPatternFormats="0" applyAlignmentFormats="0" applyWidthHeightFormats="0">
  <queryTableRefresh nextId="4">
    <queryTableFields count="3">
      <queryTableField id="1" name="APPL_ID" tableColumnId="1"/>
      <queryTableField id="2" name="APPLICANT" tableColumnId="2"/>
      <queryTableField id="3" name="Email id's" tableColumnId="3"/>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9" xr16:uid="{56B81D31-B7D2-43A4-B922-2464307DAE7E}" autoFormatId="16" applyNumberFormats="0" applyBorderFormats="0" applyFontFormats="0" applyPatternFormats="0" applyAlignmentFormats="0" applyWidthHeightFormats="0">
  <queryTableRefresh nextId="11">
    <queryTableFields count="7">
      <queryTableField id="1" name="APPL_ID" tableColumnId="1"/>
      <queryTableField id="3" name="DRAWING REF" tableColumnId="3"/>
      <queryTableField id="4" name="APPLICANT" tableColumnId="4"/>
      <queryTableField id="5" name="CCY" tableColumnId="5"/>
      <queryTableField id="6" name="DOC_AMOUNT" tableColumnId="6"/>
      <queryTableField id="8" name="TRANSACTION DATE" tableColumnId="8"/>
      <queryTableField id="9" name="Ageing"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62" xr16:uid="{9392F9B0-9BCF-4F64-8BAB-873D4F6B3BA0}" autoFormatId="16" applyNumberFormats="0" applyBorderFormats="0" applyFontFormats="0" applyPatternFormats="0" applyAlignmentFormats="0" applyWidthHeightFormats="0">
  <queryTableRefresh nextId="4">
    <queryTableFields count="3">
      <queryTableField id="1" name="APPL_ID" tableColumnId="1"/>
      <queryTableField id="2" name="APPLICANT" tableColumnId="2"/>
      <queryTableField id="3" name="Email id's" tableColumnId="3"/>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4" xr16:uid="{F564AEE6-7D0C-4A14-B2A5-65DE628DDFFB}" autoFormatId="16" applyNumberFormats="0" applyBorderFormats="0" applyFontFormats="0" applyPatternFormats="0" applyAlignmentFormats="0" applyWidthHeightFormats="0">
  <queryTableRefresh nextId="4">
    <queryTableFields count="1">
      <queryTableField id="3" name="Count_RiyadhLessThan60" tableColumnId="1"/>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3" connectionId="5" xr16:uid="{EB76B0BC-2843-4CAE-89F4-D9EB61E73D3F}" autoFormatId="16" applyNumberFormats="0" applyBorderFormats="0" applyFontFormats="0" applyPatternFormats="0" applyAlignmentFormats="0" applyWidthHeightFormats="0">
  <queryTableRefresh nextId="3">
    <queryTableFields count="1">
      <queryTableField id="2" name="Count_DammamLessThan60" tableColumnId="1"/>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4" connectionId="8" xr16:uid="{B501AB86-BBD0-4F55-A01C-8CCBB962C9AA}" autoFormatId="16" applyNumberFormats="0" applyBorderFormats="0" applyFontFormats="0" applyPatternFormats="0" applyAlignmentFormats="0" applyWidthHeightFormats="0">
  <queryTableRefresh nextId="3">
    <queryTableFields count="1">
      <queryTableField id="2" name="Count_JeddahLessThan60" tableColumnId="1"/>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5" connectionId="12" xr16:uid="{DD7F46EE-3F58-4898-AD01-BA5BF8F523D4}" autoFormatId="16" applyNumberFormats="0" applyBorderFormats="0" applyFontFormats="0" applyPatternFormats="0" applyAlignmentFormats="0" applyWidthHeightFormats="0">
  <queryTableRefresh nextId="3">
    <queryTableFields count="1">
      <queryTableField id="2" name="Count_Riyadh_Escalation" tableColumnId="1"/>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6" connectionId="3" xr16:uid="{C2478B1C-BA92-4B65-8A27-75EB94055417}" autoFormatId="16" applyNumberFormats="0" applyBorderFormats="0" applyFontFormats="0" applyPatternFormats="0" applyAlignmentFormats="0" applyWidthHeightFormats="0">
  <queryTableRefresh nextId="2">
    <queryTableFields count="1">
      <queryTableField id="1" name="Count_Dammam_Escalation" tableColumnId="1"/>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7" connectionId="6" xr16:uid="{2058E1DE-99A7-4891-834E-F296D61DEFEF}" autoFormatId="16" applyNumberFormats="0" applyBorderFormats="0" applyFontFormats="0" applyPatternFormats="0" applyAlignmentFormats="0" applyWidthHeightFormats="0">
  <queryTableRefresh nextId="2">
    <queryTableFields count="1">
      <queryTableField id="1" name="Count_Jeddah_Escalation" tableColumnId="1"/>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8" connectionId="13" xr16:uid="{A91BC531-95E0-414A-B3C9-979F347964FA}" autoFormatId="16" applyNumberFormats="0" applyBorderFormats="0" applyFontFormats="0" applyPatternFormats="0" applyAlignmentFormats="0" applyWidthHeightFormats="0">
  <queryTableRefresh nextId="2">
    <queryTableFields count="1">
      <queryTableField id="1" name="Count_Riyadh_Super_Escalation" tableColumnId="1"/>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9" connectionId="4" xr16:uid="{EEB46514-8602-4360-B8DE-17B70196CCBD}" autoFormatId="16" applyNumberFormats="0" applyBorderFormats="0" applyFontFormats="0" applyPatternFormats="0" applyAlignmentFormats="0" applyWidthHeightFormats="0">
  <queryTableRefresh nextId="2">
    <queryTableFields count="1">
      <queryTableField id="1" name="Count_Dammam_Super_Escalation" tableColumnId="1"/>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0" connectionId="7" xr16:uid="{FECC1C03-1824-4711-9080-D194BCC64622}" autoFormatId="16" applyNumberFormats="0" applyBorderFormats="0" applyFontFormats="0" applyPatternFormats="0" applyAlignmentFormats="0" applyWidthHeightFormats="0">
  <queryTableRefresh nextId="2">
    <queryTableFields count="1">
      <queryTableField id="1" name="Count_Jeddah_Super_Escalation" tableColumnId="1"/>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1" connectionId="11" xr16:uid="{019B8324-354E-46E3-A686-C6B2E1925165}" autoFormatId="16" applyNumberFormats="0" applyBorderFormats="0" applyFontFormats="0" applyPatternFormats="0" applyAlignmentFormats="0" applyWidthHeightFormats="0">
  <queryTableRefresh nextId="2">
    <queryTableFields count="1">
      <queryTableField id="1" name="Count_No_Email_Riyadh" tableColumnId="1"/>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2" connectionId="9" xr16:uid="{8F2141DC-72D7-4867-B805-A5837D8478CE}" autoFormatId="16" applyNumberFormats="0" applyBorderFormats="0" applyFontFormats="0" applyPatternFormats="0" applyAlignmentFormats="0" applyWidthHeightFormats="0">
  <queryTableRefresh nextId="2">
    <queryTableFields count="1">
      <queryTableField id="1" name="Count_No_Email_Dammam" tableColumnId="1"/>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13" connectionId="10" xr16:uid="{5018006C-8059-49AE-B807-EE5C8774AA4F}" autoFormatId="16" applyNumberFormats="0" applyBorderFormats="0" applyFontFormats="0" applyPatternFormats="0" applyAlignmentFormats="0" applyWidthHeightFormats="0">
  <queryTableRefresh nextId="2">
    <queryTableFields count="1">
      <queryTableField id="1" name="Count_No_Email_Jeddah" tableColumnId="1"/>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4" connectionId="21" xr16:uid="{4B3EC4F8-4A39-42A5-BBC8-9018F43474E3}" autoFormatId="16" applyNumberFormats="0" applyBorderFormats="0" applyFontFormats="0" applyPatternFormats="0" applyAlignmentFormats="0" applyWidthHeightFormats="0">
  <queryTableRefresh nextId="3">
    <queryTableFields count="1">
      <queryTableField id="2" name="Day_1_Jeddah" tableColumnId="1"/>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15" connectionId="20" xr16:uid="{057185FA-CB6E-4702-9F79-ABEBFBC52945}" autoFormatId="16" applyNumberFormats="0" applyBorderFormats="0" applyFontFormats="0" applyPatternFormats="0" applyAlignmentFormats="0" applyWidthHeightFormats="0">
  <queryTableRefresh nextId="2">
    <queryTableFields count="1">
      <queryTableField id="1" name="Date_1_Dammam" tableColumnId="1"/>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16" connectionId="22" xr16:uid="{40A90840-E8E1-4331-84AF-84E6C8DF3112}" autoFormatId="16" applyNumberFormats="0" applyBorderFormats="0" applyFontFormats="0" applyPatternFormats="0" applyAlignmentFormats="0" applyWidthHeightFormats="0">
  <queryTableRefresh nextId="2">
    <queryTableFields count="1">
      <queryTableField id="1" name="Day_1_Riyadh" tableColumnId="1"/>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2" connectionId="30" xr16:uid="{7DDA181E-A69D-4F70-9C36-BF8CFFF701B3}" autoFormatId="16" applyNumberFormats="0" applyBorderFormats="0" applyFontFormats="0" applyPatternFormats="0" applyAlignmentFormats="0" applyWidthHeightFormats="0">
  <queryTableRefresh nextId="4">
    <queryTableFields count="3">
      <queryTableField id="1" name="APPL_ID" tableColumnId="1"/>
      <queryTableField id="2" name="APPLICANT" tableColumnId="2"/>
      <queryTableField id="3" name="Email id's" tableColumnId="3"/>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2" connectionId="41" xr16:uid="{DA64899D-6DE7-4C04-B51D-4881E9F7F793}" autoFormatId="16" applyNumberFormats="0" applyBorderFormats="0" applyFontFormats="0" applyPatternFormats="0" applyAlignmentFormats="0" applyWidthHeightFormats="0">
  <queryTableRefresh nextId="13">
    <queryTableFields count="8">
      <queryTableField id="1" name="APPL_ID" tableColumnId="1"/>
      <queryTableField id="3" name="DRAWING REF" tableColumnId="3"/>
      <queryTableField id="4" name="APPLICANT" tableColumnId="4"/>
      <queryTableField id="5" name="CCY" tableColumnId="5"/>
      <queryTableField id="6" name="DOC_AMOUNT" tableColumnId="6"/>
      <queryTableField id="8" name="TRANSACTION DATE" tableColumnId="8"/>
      <queryTableField id="9" name="Ageing" tableColumnId="9"/>
      <queryTableField id="12" name="Maker Name" tableColumnId="2"/>
    </queryTableFields>
  </queryTableRefresh>
</queryTable>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ExternalData_3" connectionId="17" xr16:uid="{9A642993-7239-4959-8C99-237EAC546330}" autoFormatId="16" applyNumberFormats="0" applyBorderFormats="0" applyFontFormats="0" applyPatternFormats="0" applyAlignmentFormats="0" applyWidthHeightFormats="0">
  <queryTableRefresh nextId="12">
    <queryTableFields count="8">
      <queryTableField id="1" name="APPL_ID" tableColumnId="1"/>
      <queryTableField id="3" name="DRAWING REF" tableColumnId="3"/>
      <queryTableField id="4" name="APPLICANT" tableColumnId="4"/>
      <queryTableField id="5" name="CCY" tableColumnId="5"/>
      <queryTableField id="6" name="DOC_AMOUNT" tableColumnId="6"/>
      <queryTableField id="8" name="TRANSACTION DATE" tableColumnId="8"/>
      <queryTableField id="9" name="Ageing" tableColumnId="9"/>
      <queryTableField id="11" name="Maker Name" tableColumnId="2"/>
    </queryTableFields>
  </queryTableRefresh>
</queryTable>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ExternalData_4" connectionId="27" xr16:uid="{71888B7E-47FF-4E15-9DBA-D38C092656FC}" autoFormatId="16" applyNumberFormats="0" applyBorderFormats="0" applyFontFormats="0" applyPatternFormats="0" applyAlignmentFormats="0" applyWidthHeightFormats="0">
  <queryTableRefresh nextId="11">
    <queryTableFields count="8">
      <queryTableField id="1" name="APPL_ID" tableColumnId="1"/>
      <queryTableField id="3" name="DRAWING REF" tableColumnId="3"/>
      <queryTableField id="4" name="APPLICANT" tableColumnId="4"/>
      <queryTableField id="5" name="CCY" tableColumnId="5"/>
      <queryTableField id="6" name="DOC_AMOUNT" tableColumnId="6"/>
      <queryTableField id="8" name="TRANSACTION DATE" tableColumnId="8"/>
      <queryTableField id="9" name="Ageing" tableColumnId="9"/>
      <queryTableField id="10" name="Maker ID" tableColumnId="2"/>
    </queryTableFields>
  </queryTableRefresh>
</queryTable>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ExternalData_2" connectionId="2" xr16:uid="{2A780ED7-9B60-4BD2-B33E-9F1752951BBA}" autoFormatId="16" applyNumberFormats="0" applyBorderFormats="0" applyFontFormats="0" applyPatternFormats="0" applyAlignmentFormats="0" applyWidthHeightFormats="0">
  <queryTableRefresh nextId="11">
    <queryTableFields count="9">
      <queryTableField id="1" name="APPL_ID" tableColumnId="1"/>
      <queryTableField id="2" name="DRAWING REF" tableColumnId="2"/>
      <queryTableField id="3" name="APPLICANT" tableColumnId="3"/>
      <queryTableField id="4" name="CCY" tableColumnId="4"/>
      <queryTableField id="5" name="DOC_AMOUNT" tableColumnId="5"/>
      <queryTableField id="6" name="TRANSACTION DATE" tableColumnId="6"/>
      <queryTableField id="7" name="Ageing" tableColumnId="7"/>
      <queryTableField id="9" name="Checker ID" tableColumnId="9"/>
      <queryTableField id="8" name="Checker Name" tableColumnId="8"/>
    </queryTableFields>
  </queryTableRefresh>
</queryTable>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ExternalData_1" connectionId="42" xr16:uid="{8DACB110-B5ED-4621-8E0F-02D0AFE42816}" autoFormatId="16" applyNumberFormats="0" applyBorderFormats="0" applyFontFormats="0" applyPatternFormats="0" applyAlignmentFormats="0" applyWidthHeightFormats="0">
  <queryTableRefresh nextId="13">
    <queryTableFields count="9">
      <queryTableField id="1" name="APPL_ID" tableColumnId="1"/>
      <queryTableField id="3" name="DRAWING REF" tableColumnId="3"/>
      <queryTableField id="4" name="APPLICANT" tableColumnId="4"/>
      <queryTableField id="5" name="CCY" tableColumnId="5"/>
      <queryTableField id="6" name="DOC_AMOUNT" tableColumnId="6"/>
      <queryTableField id="8" name="TRANSACTION DATE" tableColumnId="8"/>
      <queryTableField id="9" name="Ageing" tableColumnId="9"/>
      <queryTableField id="11" name="Checker_ID" tableColumnId="7"/>
      <queryTableField id="10" name="Checker Name" tableColumnId="2"/>
    </queryTableFields>
  </queryTableRefresh>
</queryTable>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ExternalData_2" connectionId="18" xr16:uid="{8252F407-8CB2-4B4C-8880-152A137B540D}" autoFormatId="16" applyNumberFormats="0" applyBorderFormats="0" applyFontFormats="0" applyPatternFormats="0" applyAlignmentFormats="0" applyWidthHeightFormats="0">
  <queryTableRefresh nextId="13">
    <queryTableFields count="9">
      <queryTableField id="1" name="APPL_ID" tableColumnId="1"/>
      <queryTableField id="3" name="DRAWING REF" tableColumnId="3"/>
      <queryTableField id="4" name="APPLICANT" tableColumnId="4"/>
      <queryTableField id="5" name="CCY" tableColumnId="5"/>
      <queryTableField id="6" name="DOC_AMOUNT" tableColumnId="6"/>
      <queryTableField id="8" name="TRANSACTION DATE" tableColumnId="8"/>
      <queryTableField id="9" name="Ageing" tableColumnId="9"/>
      <queryTableField id="11" name="Checker ID" tableColumnId="7"/>
      <queryTableField id="10" name="Checker Name" tableColumnId="2"/>
    </queryTableFields>
  </queryTableRefresh>
</queryTable>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ExternalData_3" connectionId="28" xr16:uid="{F156DD56-3AC7-43B4-87C4-FF2AF8F3B08A}" autoFormatId="16" applyNumberFormats="0" applyBorderFormats="0" applyFontFormats="0" applyPatternFormats="0" applyAlignmentFormats="0" applyWidthHeightFormats="0">
  <queryTableRefresh nextId="13">
    <queryTableFields count="9">
      <queryTableField id="1" name="APPL_ID" tableColumnId="1"/>
      <queryTableField id="3" name="DRAWING REF" tableColumnId="3"/>
      <queryTableField id="4" name="APPLICANT" tableColumnId="4"/>
      <queryTableField id="5" name="CCY" tableColumnId="5"/>
      <queryTableField id="6" name="DOC_AMOUNT" tableColumnId="6"/>
      <queryTableField id="8" name="TRANSACTION DATE" tableColumnId="8"/>
      <queryTableField id="9" name="Ageing" tableColumnId="9"/>
      <queryTableField id="11" name="Checker ID" tableColumnId="7"/>
      <queryTableField id="10" name="Checker Name" tableColumnId="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7.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28.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29.xml"/></Relationships>
</file>

<file path=xl/tables/_rels/table30.xml.rels><?xml version="1.0" encoding="UTF-8" standalone="yes"?>
<Relationships xmlns="http://schemas.openxmlformats.org/package/2006/relationships"><Relationship Id="rId1" Type="http://schemas.openxmlformats.org/officeDocument/2006/relationships/queryTable" Target="../queryTables/queryTable30.xml"/></Relationships>
</file>

<file path=xl/tables/_rels/table31.xml.rels><?xml version="1.0" encoding="UTF-8" standalone="yes"?>
<Relationships xmlns="http://schemas.openxmlformats.org/package/2006/relationships"><Relationship Id="rId1" Type="http://schemas.openxmlformats.org/officeDocument/2006/relationships/queryTable" Target="../queryTables/queryTable31.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3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5B3FF30-B132-42BF-9C42-5727124C2015}" name="RiyadhLessThan60" displayName="RiyadhLessThan60" ref="B5:H81" tableType="queryTable" totalsRowShown="0" headerRowDxfId="55">
  <autoFilter ref="B5:H81" xr:uid="{95B3FF30-B132-42BF-9C42-5727124C2015}"/>
  <tableColumns count="7">
    <tableColumn id="3" xr3:uid="{B2F72B2B-EDA5-4D59-82B5-0E21DCDD619A}" uniqueName="3" name="APPL_ID" queryTableFieldId="3"/>
    <tableColumn id="2" xr3:uid="{E39E0D6F-08B7-446F-9082-048067312F48}" uniqueName="2" name="DRAWING REF" queryTableFieldId="2" dataDxfId="54"/>
    <tableColumn id="4" xr3:uid="{BC00D6A8-6FA0-454C-9111-5B12763BB608}" uniqueName="4" name="APPLICANT" queryTableFieldId="4" dataDxfId="53"/>
    <tableColumn id="5" xr3:uid="{55CA3232-6B28-4914-955B-8783E303BE3B}" uniqueName="5" name="CCY" queryTableFieldId="5" dataDxfId="52"/>
    <tableColumn id="6" xr3:uid="{EDEF3C2A-A235-44AA-93C4-FB5437F9C83F}" uniqueName="6" name="DOC_AMOUNT" queryTableFieldId="6"/>
    <tableColumn id="8" xr3:uid="{ACD1C45F-88E8-4259-96E5-520AE2A08E78}" uniqueName="8" name="TRANSACTION DATE" queryTableFieldId="8" dataDxfId="15"/>
    <tableColumn id="9" xr3:uid="{5BA6268F-AB4D-4E16-890E-2E951634E4D0}" uniqueName="9" name="Ageing" queryTableFieldId="9"/>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66B1C8-5FF4-45F8-8D74-0890CB428CCF}" name="Unique_List_Riyadh" displayName="Unique_List_Riyadh" ref="A1:C34" tableType="queryTable" totalsRowShown="0">
  <autoFilter ref="A1:C34" xr:uid="{8A66B1C8-5FF4-45F8-8D74-0890CB428CCF}"/>
  <tableColumns count="3">
    <tableColumn id="1" xr3:uid="{48975F3D-003D-437C-873C-DBBE7B535FF4}" uniqueName="1" name="APPL_ID" queryTableFieldId="1"/>
    <tableColumn id="2" xr3:uid="{B9FDD33A-8610-4F6B-9A5E-F6010DC53C70}" uniqueName="2" name="APPLICANT" queryTableFieldId="2"/>
    <tableColumn id="3" xr3:uid="{E37B506C-2BA7-4846-BEFE-878651B36F2F}" uniqueName="3" name="Email id's" queryTableFieldId="3" dataDxfId="14"/>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1AE74406-9F14-43EA-8003-A824999AEB8F}" name="No_Email_Riyadh" displayName="No_Email_Riyadh" ref="A1:C6" tableType="queryTable" totalsRowShown="0">
  <autoFilter ref="A1:C6" xr:uid="{1AE74406-9F14-43EA-8003-A824999AEB8F}"/>
  <tableColumns count="3">
    <tableColumn id="1" xr3:uid="{BBB1E43A-746C-4A51-AE51-A042B162323C}" uniqueName="1" name="APPL_ID" queryTableFieldId="1"/>
    <tableColumn id="2" xr3:uid="{48ADF964-C2A4-435E-AC17-BC81148F9A65}" uniqueName="2" name="APPLICANT" queryTableFieldId="2"/>
    <tableColumn id="3" xr3:uid="{744F784D-6DBA-4C7A-A450-3D5886DABAC9}" uniqueName="3" name="Email id's" queryTableFieldId="3"/>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41B1B671-A8CE-4D90-A055-77D6B2E1E296}" name="All_Data" displayName="All_Data" ref="A4:I120" tableType="queryTable" totalsRowShown="0">
  <autoFilter ref="A4:I120" xr:uid="{41B1B671-A8CE-4D90-A055-77D6B2E1E296}">
    <filterColumn colId="0">
      <filters>
        <filter val="1136461"/>
      </filters>
    </filterColumn>
  </autoFilter>
  <tableColumns count="9">
    <tableColumn id="1" xr3:uid="{EB7D2767-DA83-440A-8B14-D7D8029D2084}" uniqueName="1" name="APPL_ID" queryTableFieldId="1"/>
    <tableColumn id="8" xr3:uid="{F053E60D-0FB3-4C73-92DE-5963ABFDE585}" uniqueName="8" name="LC NUMBER" queryTableFieldId="8" dataDxfId="51"/>
    <tableColumn id="2" xr3:uid="{42E233A3-A328-4FE1-A188-E3184952C2FC}" uniqueName="2" name="DRAWING REF" queryTableFieldId="2" dataDxfId="50"/>
    <tableColumn id="3" xr3:uid="{B793AE3E-82E6-4F82-B7A3-AA7CFE5BC109}" uniqueName="3" name="APPLICANT" queryTableFieldId="3" dataDxfId="49"/>
    <tableColumn id="4" xr3:uid="{542E6FC4-BB6F-4EDA-8F42-EA3AA49819E4}" uniqueName="4" name="CCY" queryTableFieldId="4" dataDxfId="48"/>
    <tableColumn id="5" xr3:uid="{66CDC354-7703-4FCD-9133-90E0B67BEC87}" uniqueName="5" name="DOC_AMOUNT" queryTableFieldId="5"/>
    <tableColumn id="6" xr3:uid="{4801A687-7E62-4AEE-81B2-C26320CA7EBD}" uniqueName="6" name="TRANSACTION DATE" queryTableFieldId="6" dataDxfId="13"/>
    <tableColumn id="7" xr3:uid="{572E7134-A25A-48DE-ACEE-600588C74A07}" uniqueName="7" name="Ageing" queryTableFieldId="7"/>
    <tableColumn id="9" xr3:uid="{1C16AB75-463A-4227-B847-321FF79366D4}" uniqueName="9" name="Email id's" queryTableFieldId="10" dataDxfId="47"/>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E444416-9EDF-4EF6-97A6-F3AD0ADDA714}" name="JeddahLessThan60" displayName="JeddahLessThan60" ref="B5:H25" tableType="queryTable" totalsRowShown="0">
  <autoFilter ref="B5:H25" xr:uid="{8E444416-9EDF-4EF6-97A6-F3AD0ADDA714}"/>
  <tableColumns count="7">
    <tableColumn id="1" xr3:uid="{8E2500D0-47D5-4E0D-99A2-374AAAADAC4B}" uniqueName="1" name="APPL_ID" queryTableFieldId="1"/>
    <tableColumn id="3" xr3:uid="{3B0504F3-777E-4FD9-AA50-552B8C83BC00}" uniqueName="3" name="DRAWING REF" queryTableFieldId="3" dataDxfId="46"/>
    <tableColumn id="4" xr3:uid="{5FA9BED2-A1CC-4278-A5C9-EE2905F6C9E4}" uniqueName="4" name="APPLICANT" queryTableFieldId="4" dataDxfId="45"/>
    <tableColumn id="5" xr3:uid="{3FE9BBF9-7E6C-4BCB-8A3F-6AE19E33D6FC}" uniqueName="5" name="CCY" queryTableFieldId="5" dataDxfId="44"/>
    <tableColumn id="6" xr3:uid="{088C9EC5-71B1-4237-91E7-3D9AEF639CBA}" uniqueName="6" name="DOC_AMOUNT" queryTableFieldId="6"/>
    <tableColumn id="8" xr3:uid="{C2883D3B-3ED1-4FCB-A524-0D7432BC6D1D}" uniqueName="8" name="TRANSACTION DATE" queryTableFieldId="8" dataDxfId="12"/>
    <tableColumn id="9" xr3:uid="{949D8B6A-74E6-4D44-8CF1-CBB2BF8E3DE8}" uniqueName="9" name="Ageing" queryTableFieldId="9"/>
  </tableColumns>
  <tableStyleInfo name="TableStyleLight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5FD08FF6-17AC-423E-8837-CBC97058EA59}" name="Unique_List_Jeddah" displayName="Unique_List_Jeddah" ref="A1:C3" tableType="queryTable" totalsRowShown="0">
  <autoFilter ref="A1:C3" xr:uid="{5FD08FF6-17AC-423E-8837-CBC97058EA59}"/>
  <tableColumns count="3">
    <tableColumn id="1" xr3:uid="{43A2CADE-A5CE-4B59-96FC-E41085984EFB}" uniqueName="1" name="APPL_ID" queryTableFieldId="1"/>
    <tableColumn id="2" xr3:uid="{EC6D572F-3EF0-4706-A8A3-5DD44CF773A2}" uniqueName="2" name="APPLICANT" queryTableFieldId="2"/>
    <tableColumn id="3" xr3:uid="{E88068A8-D16E-4FE4-B298-B6E2C7D8DE3E}" uniqueName="3" name="Email id's" queryTableFieldId="3" dataDxfId="11" dataCellStyle="Hyperlink"/>
  </tableColumns>
  <tableStyleInfo name="TableStyleLight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E89530BB-BB83-4484-BD80-D9A0AA1BB9A8}" name="No_Email_Jeddah" displayName="No_Email_Jeddah" ref="A1:C11" tableType="queryTable" totalsRowShown="0">
  <autoFilter ref="A1:C11" xr:uid="{E89530BB-BB83-4484-BD80-D9A0AA1BB9A8}"/>
  <tableColumns count="3">
    <tableColumn id="1" xr3:uid="{8B1853E0-0360-4665-B373-177A1742A601}" uniqueName="1" name="APPL_ID" queryTableFieldId="1"/>
    <tableColumn id="2" xr3:uid="{265CF6D3-D0C0-41DB-AA5B-C7DE90D4F4AE}" uniqueName="2" name="APPLICANT" queryTableFieldId="2"/>
    <tableColumn id="3" xr3:uid="{E8C4E23B-751D-449E-9C48-135405662986}" uniqueName="3" name="Email id's" queryTableFieldId="3"/>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CB59F2-20E8-4C0F-87E8-CEA33EFEC43A}" name="DammamLessThan60" displayName="DammamLessThan60" ref="B5:H25" tableType="queryTable" totalsRowShown="0">
  <autoFilter ref="B5:H25" xr:uid="{E8CB59F2-20E8-4C0F-87E8-CEA33EFEC43A}"/>
  <tableColumns count="7">
    <tableColumn id="1" xr3:uid="{F971152C-40C2-418F-BAB3-2394752BC6BE}" uniqueName="1" name="APPL_ID" queryTableFieldId="1" dataDxfId="43"/>
    <tableColumn id="3" xr3:uid="{8A4F0D3E-7EDB-4645-96AC-4741F2DC0860}" uniqueName="3" name="DRAWING REF" queryTableFieldId="3" dataDxfId="42"/>
    <tableColumn id="4" xr3:uid="{C5C20E92-3219-462D-86C2-34AEB8344C28}" uniqueName="4" name="APPLICANT" queryTableFieldId="4" dataDxfId="41"/>
    <tableColumn id="5" xr3:uid="{EF5D39E6-E4D8-4EA4-A689-6B41C623F564}" uniqueName="5" name="CCY" queryTableFieldId="5" dataDxfId="40"/>
    <tableColumn id="6" xr3:uid="{680284BD-E1B5-4B64-A82E-D4B40DEDE6B2}" uniqueName="6" name="DOC_AMOUNT" queryTableFieldId="6"/>
    <tableColumn id="8" xr3:uid="{DE5C77A6-E40E-4B77-AF01-D90D1B3BFED7}" uniqueName="8" name="TRANSACTION DATE" queryTableFieldId="8" dataDxfId="10"/>
    <tableColumn id="9" xr3:uid="{CC79CD77-35E1-4D01-BB9D-CC8193F4EAD5}" uniqueName="9" name="Ageing" queryTableFieldId="9"/>
  </tableColumns>
  <tableStyleInfo name="TableStyleLight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20CBE6BC-3A50-4042-8156-4AAF9B819662}" name="Unique_List_Dammam" displayName="Unique_List_Dammam" ref="A1:C2" tableType="queryTable" insertRow="1" totalsRowShown="0">
  <autoFilter ref="A1:C2" xr:uid="{20CBE6BC-3A50-4042-8156-4AAF9B819662}"/>
  <tableColumns count="3">
    <tableColumn id="1" xr3:uid="{5E0D9243-6391-45C0-B11A-0032EE31F93E}" uniqueName="1" name="APPL_ID" queryTableFieldId="1"/>
    <tableColumn id="2" xr3:uid="{AA650D32-54B5-4871-B91F-876CC59E51FA}" uniqueName="2" name="APPLICANT" queryTableFieldId="2"/>
    <tableColumn id="3" xr3:uid="{8BC38FD1-8ABD-4269-B057-F76C26DFDBF5}" uniqueName="3" name="Email id's" queryTableFieldId="3" dataCellStyle="Hyperlink"/>
  </tableColumns>
  <tableStyleInfo name="TableStyleLight8"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650EBFE-8495-4B56-A1BE-6E9930B8D5BE}" name="Count_RiyadhLessThan60" displayName="Count_RiyadhLessThan60" ref="B2:B3" tableType="queryTable" totalsRowShown="0">
  <autoFilter ref="B2:B3" xr:uid="{5650EBFE-8495-4B56-A1BE-6E9930B8D5BE}"/>
  <tableColumns count="1">
    <tableColumn id="1" xr3:uid="{06FA6485-B5F9-4CE2-98E7-4601D612071D}" uniqueName="1" name="Count_RiyadhLessThan60" queryTableFieldId="3"/>
  </tableColumns>
  <tableStyleInfo name="TableStyleLight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996520E-04FA-4BFC-A7F4-D5F0BFB49E03}" name="Count_DammamLessThan60" displayName="Count_DammamLessThan60" ref="C2:C3" tableType="queryTable" totalsRowShown="0">
  <autoFilter ref="C2:C3" xr:uid="{5996520E-04FA-4BFC-A7F4-D5F0BFB49E03}"/>
  <tableColumns count="1">
    <tableColumn id="1" xr3:uid="{DC6D2B24-4AA9-4615-8AE9-9E318F7F3630}" uniqueName="1" name="Count_DammamLessThan60" queryTableFieldId="2"/>
  </tableColumns>
  <tableStyleInfo name="TableStyleLight8"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706AB26-89B5-487B-B2EC-EA2DF9FDA726}" name="Count_JeddahLessThan60" displayName="Count_JeddahLessThan60" ref="D2:D3" tableType="queryTable" totalsRowShown="0">
  <autoFilter ref="D2:D3" xr:uid="{9706AB26-89B5-487B-B2EC-EA2DF9FDA726}"/>
  <tableColumns count="1">
    <tableColumn id="1" xr3:uid="{39F8A1BB-39C1-4CC5-B0CB-BDC3B273F5EF}" uniqueName="1" name="Count_JeddahLessThan60" queryTableFieldId="2"/>
  </tableColumns>
  <tableStyleInfo name="TableStyleLight8"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0F563E9-F1EB-4B3F-96BA-4ED55604431C}" name="Count_Riyadh_Escalation" displayName="Count_Riyadh_Escalation" ref="E2:E3" tableType="queryTable" totalsRowShown="0">
  <autoFilter ref="E2:E3" xr:uid="{C0F563E9-F1EB-4B3F-96BA-4ED55604431C}"/>
  <tableColumns count="1">
    <tableColumn id="1" xr3:uid="{16C99957-E03F-4B37-B7CF-AF35D3F40B3C}" uniqueName="1" name="Count_Riyadh_Escalation" queryTableFieldId="2"/>
  </tableColumns>
  <tableStyleInfo name="TableStyleLight8"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C361197-46F6-4478-8732-5E451FAA30E4}" name="Count_Dammam_Escalation" displayName="Count_Dammam_Escalation" ref="F2:F3" tableType="queryTable" totalsRowShown="0">
  <autoFilter ref="F2:F3" xr:uid="{BC361197-46F6-4478-8732-5E451FAA30E4}"/>
  <tableColumns count="1">
    <tableColumn id="1" xr3:uid="{B089B275-FBBE-4D04-B482-914938F5230B}" uniqueName="1" name="Count_Dammam_Escalation" queryTableFieldId="1"/>
  </tableColumns>
  <tableStyleInfo name="TableStyleLight8"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CE73196-F5CA-4865-A78F-631B2FA52EB1}" name="Count_Jeddah_Escalation" displayName="Count_Jeddah_Escalation" ref="G2:G3" tableType="queryTable" totalsRowShown="0">
  <autoFilter ref="G2:G3" xr:uid="{CCE73196-F5CA-4865-A78F-631B2FA52EB1}"/>
  <tableColumns count="1">
    <tableColumn id="1" xr3:uid="{96281100-4665-4DC7-9FC1-5AA7E484D6EA}" uniqueName="1" name="Count_Jeddah_Escalation" queryTableFieldId="1"/>
  </tableColumns>
  <tableStyleInfo name="TableStyleLight8"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18E592F-BCEE-4276-BAFA-A9E18E16FACE}" name="Count_Riyadh_Super_Escalation" displayName="Count_Riyadh_Super_Escalation" ref="H2:H3" tableType="queryTable" totalsRowShown="0">
  <autoFilter ref="H2:H3" xr:uid="{018E592F-BCEE-4276-BAFA-A9E18E16FACE}"/>
  <tableColumns count="1">
    <tableColumn id="1" xr3:uid="{71FEE5C4-2ED0-43EC-AD1E-E815C78D40C9}" uniqueName="1" name="Count_Riyadh_Super_Escalation" queryTableFieldId="1"/>
  </tableColumns>
  <tableStyleInfo name="TableStyleLight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8EA8FA0-119F-4A45-97F1-C064C679F610}" name="Count_Dammam_Super_Escalation" displayName="Count_Dammam_Super_Escalation" ref="I2:I3" tableType="queryTable" totalsRowShown="0">
  <autoFilter ref="I2:I3" xr:uid="{F8EA8FA0-119F-4A45-97F1-C064C679F610}"/>
  <tableColumns count="1">
    <tableColumn id="1" xr3:uid="{49202C51-3D5D-43B8-8942-C81EEA610EA0}" uniqueName="1" name="Count_Dammam_Super_Escalation" queryTableFieldId="1"/>
  </tableColumns>
  <tableStyleInfo name="TableStyleLight8"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59EC892-CF02-44ED-94CC-408CAE4E7EDD}" name="Count_Jeddah_Super_Escalation" displayName="Count_Jeddah_Super_Escalation" ref="J2:J3" tableType="queryTable" totalsRowShown="0">
  <autoFilter ref="J2:J3" xr:uid="{659EC892-CF02-44ED-94CC-408CAE4E7EDD}"/>
  <tableColumns count="1">
    <tableColumn id="1" xr3:uid="{70EE8B71-ED37-4290-8389-EB0037DA5FAA}" uniqueName="1" name="Count_Jeddah_Super_Escalation" queryTableFieldId="1"/>
  </tableColumns>
  <tableStyleInfo name="TableStyleLight8"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2B45EDAF-E2F7-4148-AE80-7B68DB63914B}" name="Count_No_Email_Riyadh" displayName="Count_No_Email_Riyadh" ref="K2:K3" tableType="queryTable" totalsRowShown="0">
  <autoFilter ref="K2:K3" xr:uid="{2B45EDAF-E2F7-4148-AE80-7B68DB63914B}"/>
  <tableColumns count="1">
    <tableColumn id="1" xr3:uid="{C048BD5F-18FD-4180-BE72-E0DAE9FD0BCA}" uniqueName="1" name="Count_No_Email_Riyadh" queryTableFieldId="1"/>
  </tableColumns>
  <tableStyleInfo name="TableStyleLight8"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E0D5FD7-2A94-45D2-99F1-FACA0B99D1BA}" name="Count_No_Email_Dammam" displayName="Count_No_Email_Dammam" ref="L2:L3" tableType="queryTable" totalsRowShown="0">
  <autoFilter ref="L2:L3" xr:uid="{0E0D5FD7-2A94-45D2-99F1-FACA0B99D1BA}"/>
  <tableColumns count="1">
    <tableColumn id="1" xr3:uid="{2947FF44-4602-4810-8E1B-1F9487FF2222}" uniqueName="1" name="Count_No_Email_Dammam" queryTableFieldId="1"/>
  </tableColumns>
  <tableStyleInfo name="TableStyleLight8"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BE581D75-EEBC-49CB-94A6-D1BA3313EB92}" name="Count_No_Email_Jeddah" displayName="Count_No_Email_Jeddah" ref="M2:M3" tableType="queryTable" totalsRowShown="0">
  <autoFilter ref="M2:M3" xr:uid="{BE581D75-EEBC-49CB-94A6-D1BA3313EB92}"/>
  <tableColumns count="1">
    <tableColumn id="1" xr3:uid="{7564725F-B380-4F2D-AC8A-29760CEFAFC3}" uniqueName="1" name="Count_No_Email_Jeddah" queryTableFieldId="1"/>
  </tableColumns>
  <tableStyleInfo name="TableStyleLight8"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3B51AE69-C9F2-4B9A-9F62-8088D1C017F9}" name="Day_1_Jeddah" displayName="Day_1_Jeddah" ref="N2:N3" tableType="queryTable" totalsRowShown="0">
  <autoFilter ref="N2:N3" xr:uid="{3B51AE69-C9F2-4B9A-9F62-8088D1C017F9}"/>
  <tableColumns count="1">
    <tableColumn id="1" xr3:uid="{F1FD9C45-87FF-4D30-BF26-00743EA41EF3}" uniqueName="1" name="Day_1_Jeddah" queryTableFieldId="2" dataDxfId="7"/>
  </tableColumns>
  <tableStyleInfo name="TableStyleLight8"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B5FA5ED6-B642-4CB5-AB1B-ABD85A7FC983}" name="Date_1_Dammam" displayName="Date_1_Dammam" ref="O2:O3" tableType="queryTable" totalsRowShown="0">
  <autoFilter ref="O2:O3" xr:uid="{B5FA5ED6-B642-4CB5-AB1B-ABD85A7FC983}"/>
  <tableColumns count="1">
    <tableColumn id="1" xr3:uid="{48E40948-A5D1-44B1-865E-7D15624A9100}" uniqueName="1" name="Date_1_Dammam" queryTableFieldId="1" dataDxfId="8"/>
  </tableColumns>
  <tableStyleInfo name="TableStyleLight8"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1375A054-6134-4C6A-8388-40757EAC7834}" name="Day_1_Riyadh" displayName="Day_1_Riyadh" ref="P2:P3" tableType="queryTable" totalsRowShown="0">
  <autoFilter ref="P2:P3" xr:uid="{1375A054-6134-4C6A-8388-40757EAC7834}"/>
  <tableColumns count="1">
    <tableColumn id="1" xr3:uid="{23F8DD61-D29F-4A60-89CA-3F92E38F25F5}" uniqueName="1" name="Day_1_Riyadh" queryTableFieldId="1" dataDxfId="9"/>
  </tableColumns>
  <tableStyleInfo name="TableStyleLight8"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9D2E4B1-9432-4642-9313-36DFEFAC4429}" name="No_Email_Dammam" displayName="No_Email_Dammam" ref="A1:C13" tableType="queryTable" totalsRowShown="0">
  <autoFilter ref="A1:C13" xr:uid="{19D2E4B1-9432-4642-9313-36DFEFAC4429}"/>
  <tableColumns count="3">
    <tableColumn id="1" xr3:uid="{EA8C650B-4E66-4093-8D5E-23B2756FB210}" uniqueName="1" name="APPL_ID" queryTableFieldId="1"/>
    <tableColumn id="2" xr3:uid="{6AACD512-D6EA-4C7A-8FD3-4CBB6FAAE7CB}" uniqueName="2" name="APPLICANT" queryTableFieldId="2"/>
    <tableColumn id="3" xr3:uid="{1463F16E-F144-446C-B14B-F5A9905C702D}" uniqueName="3" name="Email id's" queryTableFieldId="3" dataCellStyle="Hyperlink"/>
  </tableColumns>
  <tableStyleInfo name="TableStyleLight8"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0660562-BABE-440C-B9B1-5CEE0AEF4B52}" name="Riyadh_Escalation" displayName="Riyadh_Escalation" ref="B4:I37" tableType="queryTable" totalsRowShown="0">
  <autoFilter ref="B4:I37" xr:uid="{70660562-BABE-440C-B9B1-5CEE0AEF4B52}"/>
  <tableColumns count="8">
    <tableColumn id="1" xr3:uid="{AE7532BA-D3A4-4DC1-B0F9-C96753E0FEEF}" uniqueName="1" name="APPL_ID" queryTableFieldId="1"/>
    <tableColumn id="3" xr3:uid="{3C252770-8E16-4989-B307-6B6D16EA2233}" uniqueName="3" name="DRAWING REF" queryTableFieldId="3"/>
    <tableColumn id="4" xr3:uid="{0C5756B4-3107-4F13-BC15-C2E6732E0682}" uniqueName="4" name="APPLICANT" queryTableFieldId="4"/>
    <tableColumn id="5" xr3:uid="{FA5B33E0-7C5C-4947-AA01-27D7B38596A5}" uniqueName="5" name="CCY" queryTableFieldId="5"/>
    <tableColumn id="6" xr3:uid="{DB350A20-74F7-48CA-B578-587E023AE69B}" uniqueName="6" name="DOC_AMOUNT" queryTableFieldId="6"/>
    <tableColumn id="8" xr3:uid="{AFA79EF6-A5BE-4ADC-8037-35590C0B15A3}" uniqueName="8" name="TRANSACTION DATE" queryTableFieldId="8" dataDxfId="4"/>
    <tableColumn id="9" xr3:uid="{BB265479-1BDA-4EFB-9DED-0D720017513E}" uniqueName="9" name="Ageing" queryTableFieldId="9"/>
    <tableColumn id="2" xr3:uid="{28619C18-3C8E-4BB1-A8D2-C24E56A9B5FC}" uniqueName="2" name="Maker Name" queryTableFieldId="12" dataDxfId="39"/>
  </tableColumns>
  <tableStyleInfo name="TableStyleLight8"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9B96886-E476-4B16-B1C1-4874EFB39040}" name="Dammam_Escalation" displayName="Dammam_Escalation" ref="B4:I5" tableType="queryTable" totalsRowShown="0">
  <autoFilter ref="B4:I5" xr:uid="{E9B96886-E476-4B16-B1C1-4874EFB39040}"/>
  <tableColumns count="8">
    <tableColumn id="1" xr3:uid="{68296065-43A8-40F3-BAE2-B1EE69AC6358}" uniqueName="1" name="APPL_ID" queryTableFieldId="1"/>
    <tableColumn id="3" xr3:uid="{A1E91759-8F0D-4692-A024-32685EAE7A37}" uniqueName="3" name="DRAWING REF" queryTableFieldId="3"/>
    <tableColumn id="4" xr3:uid="{D9912F12-41C9-40E3-BCDD-79F126C8EF15}" uniqueName="4" name="APPLICANT" queryTableFieldId="4"/>
    <tableColumn id="5" xr3:uid="{8F9BE79D-7A83-42C9-96F7-28E79AD48AE4}" uniqueName="5" name="CCY" queryTableFieldId="5"/>
    <tableColumn id="6" xr3:uid="{C720D3E7-5587-458E-8791-66F45A5B0CDF}" uniqueName="6" name="DOC_AMOUNT" queryTableFieldId="6"/>
    <tableColumn id="8" xr3:uid="{CA5ED502-5EDA-4104-82CE-A41003F0C58E}" uniqueName="8" name="TRANSACTION DATE" queryTableFieldId="8" dataDxfId="6"/>
    <tableColumn id="9" xr3:uid="{351CF508-6051-4466-8028-688EC00039E8}" uniqueName="9" name="Ageing" queryTableFieldId="9"/>
    <tableColumn id="2" xr3:uid="{6F18199C-0042-49C7-98F8-5D46F96B7FF6}" uniqueName="2" name="Maker Name" queryTableFieldId="11"/>
  </tableColumns>
  <tableStyleInfo name="TableStyleLight8"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9087E2CA-7653-4487-B7DE-46254E423FD0}" name="Jeddah_Escalation" displayName="Jeddah_Escalation" ref="B4:I11" tableType="queryTable" totalsRowShown="0">
  <autoFilter ref="B4:I11" xr:uid="{9087E2CA-7653-4487-B7DE-46254E423FD0}"/>
  <tableColumns count="8">
    <tableColumn id="1" xr3:uid="{94C3B360-74E8-423B-9763-1C6796A3DC49}" uniqueName="1" name="APPL_ID" queryTableFieldId="1"/>
    <tableColumn id="3" xr3:uid="{86A883BC-E3DF-4CD3-AEAA-CC860B897619}" uniqueName="3" name="DRAWING REF" queryTableFieldId="3"/>
    <tableColumn id="4" xr3:uid="{02549CBC-1AF8-4785-BEB8-0C80DA5E5DEB}" uniqueName="4" name="APPLICANT" queryTableFieldId="4"/>
    <tableColumn id="5" xr3:uid="{F8FAD4C6-8E16-401C-A8E4-580275A41DD4}" uniqueName="5" name="CCY" queryTableFieldId="5"/>
    <tableColumn id="6" xr3:uid="{50741702-6B54-44A7-A20B-55F184D51521}" uniqueName="6" name="DOC_AMOUNT" queryTableFieldId="6"/>
    <tableColumn id="8" xr3:uid="{B4474661-81D3-4447-81B7-BA9B11A7FE8F}" uniqueName="8" name="TRANSACTION DATE" queryTableFieldId="8" dataDxfId="5"/>
    <tableColumn id="9" xr3:uid="{3AE04CF0-D8D7-4BBB-ACBD-683B054DC62B}" uniqueName="9" name="Ageing" queryTableFieldId="9"/>
    <tableColumn id="2" xr3:uid="{AA477F01-A73F-46F0-82A3-1A6A8CD2FF19}" uniqueName="2" name="Maker ID" queryTableFieldId="10"/>
  </tableColumns>
  <tableStyleInfo name="TableStyleLight8"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EF30639-851D-4082-908B-28B5B15BD6F0}" name="All_Super_Escalation" displayName="All_Super_Escalation" ref="B4:J66" tableType="queryTable" totalsRowShown="0">
  <autoFilter ref="B4:J66" xr:uid="{7EF30639-851D-4082-908B-28B5B15BD6F0}"/>
  <tableColumns count="9">
    <tableColumn id="1" xr3:uid="{9D3DC8B1-D828-4015-B85C-2EC83E718439}" uniqueName="1" name="APPL_ID" queryTableFieldId="1"/>
    <tableColumn id="2" xr3:uid="{9AFB7753-90D3-450E-8A12-D021DDF408F5}" uniqueName="2" name="DRAWING REF" queryTableFieldId="2" dataDxfId="38"/>
    <tableColumn id="3" xr3:uid="{13CE188A-C5D2-4090-9638-98B27095B68C}" uniqueName="3" name="APPLICANT" queryTableFieldId="3" dataDxfId="37"/>
    <tableColumn id="4" xr3:uid="{E6D3BAF7-591A-4ED0-A0D9-836F12942052}" uniqueName="4" name="CCY" queryTableFieldId="4" dataDxfId="36"/>
    <tableColumn id="5" xr3:uid="{2E4C9AA7-422B-4C60-9D12-DF587D712408}" uniqueName="5" name="DOC_AMOUNT" queryTableFieldId="5"/>
    <tableColumn id="6" xr3:uid="{5DA8E3F9-F5A0-4D50-8706-C6EDC2C64B2E}" uniqueName="6" name="TRANSACTION DATE" queryTableFieldId="6" dataDxfId="0"/>
    <tableColumn id="7" xr3:uid="{A1C29048-40CF-4259-83BE-F8D484A0CE30}" uniqueName="7" name="Ageing" queryTableFieldId="7"/>
    <tableColumn id="9" xr3:uid="{68749594-8C1B-4B72-9FCF-30AA014F89B4}" uniqueName="9" name="Checker ID" queryTableFieldId="9"/>
    <tableColumn id="8" xr3:uid="{3E5DBCC4-B4FA-4430-9F6A-6BAC833A134A}" uniqueName="8" name="Checker Name" queryTableFieldId="8" dataDxfId="35"/>
  </tableColumns>
  <tableStyleInfo name="TableStyleLight8"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F1E7C03-2115-4251-B76F-DDDF24B3F455}" name="Riyadh_Super_Escalation" displayName="Riyadh_Super_Escalation" ref="B4:J59" tableType="queryTable" totalsRowShown="0">
  <autoFilter ref="B4:J59" xr:uid="{FF1E7C03-2115-4251-B76F-DDDF24B3F455}"/>
  <tableColumns count="9">
    <tableColumn id="1" xr3:uid="{DF54E66F-74E0-4DD9-9400-116A3C1F7E90}" uniqueName="1" name="APPL_ID" queryTableFieldId="1"/>
    <tableColumn id="3" xr3:uid="{BAFC113A-FCE2-4479-BCD4-8731694C39D3}" uniqueName="3" name="DRAWING REF" queryTableFieldId="3" dataDxfId="34"/>
    <tableColumn id="4" xr3:uid="{B5B4C8A0-47DB-4BA4-A8AA-C8F714654C7F}" uniqueName="4" name="APPLICANT" queryTableFieldId="4" dataDxfId="33"/>
    <tableColumn id="5" xr3:uid="{A11BD453-9241-442A-8C5A-7C6765A823E7}" uniqueName="5" name="CCY" queryTableFieldId="5" dataDxfId="32"/>
    <tableColumn id="6" xr3:uid="{38EC8AA3-A95A-455B-A5D1-2CB466C4E3C5}" uniqueName="6" name="DOC_AMOUNT" queryTableFieldId="6"/>
    <tableColumn id="8" xr3:uid="{1DDA8915-77E6-41A0-83D9-3C16A9CC80D8}" uniqueName="8" name="TRANSACTION DATE" queryTableFieldId="8" dataDxfId="1"/>
    <tableColumn id="9" xr3:uid="{305903E0-EEE7-4BBC-BFFA-CF99F9ED3768}" uniqueName="9" name="Ageing" queryTableFieldId="9"/>
    <tableColumn id="7" xr3:uid="{9A48AABB-4460-4042-BFAB-31FF455C2246}" uniqueName="7" name="Checker_ID" queryTableFieldId="11"/>
    <tableColumn id="2" xr3:uid="{73E0F717-F278-4F28-9C56-FF69698133FC}" uniqueName="2" name="Checker Name" queryTableFieldId="10" dataDxfId="31"/>
  </tableColumns>
  <tableStyleInfo name="TableStyleLight8"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4CD97D4-3465-4761-B04D-F181F6FF1ED3}" name="Dammam_Super_Escalation" displayName="Dammam_Super_Escalation" ref="B4:J5" tableType="queryTable" totalsRowShown="0">
  <autoFilter ref="B4:J5" xr:uid="{04CD97D4-3465-4761-B04D-F181F6FF1ED3}"/>
  <tableColumns count="9">
    <tableColumn id="1" xr3:uid="{44DE97F5-A51C-4DCD-BA42-66511F373C15}" uniqueName="1" name="APPL_ID" queryTableFieldId="1"/>
    <tableColumn id="3" xr3:uid="{65C75DEE-0C51-44D8-B88C-25C285D5D5B8}" uniqueName="3" name="DRAWING REF" queryTableFieldId="3"/>
    <tableColumn id="4" xr3:uid="{0487D7BB-F062-4780-BAB8-56F15C3E8E05}" uniqueName="4" name="APPLICANT" queryTableFieldId="4"/>
    <tableColumn id="5" xr3:uid="{AD1CCED9-2F3F-4936-A3E0-F27AE40E6D12}" uniqueName="5" name="CCY" queryTableFieldId="5"/>
    <tableColumn id="6" xr3:uid="{1FC4D601-A8A3-461E-843F-8A9199FFEBC4}" uniqueName="6" name="DOC_AMOUNT" queryTableFieldId="6"/>
    <tableColumn id="8" xr3:uid="{365583EA-01BC-41C0-92FA-98AF2A790A2E}" uniqueName="8" name="TRANSACTION DATE" queryTableFieldId="8" dataDxfId="3"/>
    <tableColumn id="9" xr3:uid="{F8EA1952-494F-4F69-BBC7-6115DE5315A8}" uniqueName="9" name="Ageing" queryTableFieldId="9"/>
    <tableColumn id="7" xr3:uid="{FE7EFBB7-24F0-4544-89CE-C01FDC4FB664}" uniqueName="7" name="Checker ID" queryTableFieldId="11"/>
    <tableColumn id="2" xr3:uid="{AED520AD-3640-43A0-86D2-5E37F3D9BB29}" uniqueName="2" name="Checker Name" queryTableFieldId="10" dataDxfId="30"/>
  </tableColumns>
  <tableStyleInfo name="TableStyleLight8"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2C5E4DE-4F04-44A5-8A83-2DC7456424B4}" name="Jeddah_Super_Escalation" displayName="Jeddah_Super_Escalation" ref="B4:J10" tableType="queryTable" totalsRowShown="0">
  <autoFilter ref="B4:J10" xr:uid="{02C5E4DE-4F04-44A5-8A83-2DC7456424B4}"/>
  <tableColumns count="9">
    <tableColumn id="1" xr3:uid="{4D51B366-EF49-48C4-91C0-B79B33B205D8}" uniqueName="1" name="APPL_ID" queryTableFieldId="1"/>
    <tableColumn id="3" xr3:uid="{3910C39B-D3C1-4BAC-A0B2-096DC0CE676F}" uniqueName="3" name="DRAWING REF" queryTableFieldId="3" dataDxfId="29"/>
    <tableColumn id="4" xr3:uid="{457421F3-F5F3-4299-8B95-B377570BB239}" uniqueName="4" name="APPLICANT" queryTableFieldId="4" dataDxfId="28"/>
    <tableColumn id="5" xr3:uid="{94B13BCD-7000-4C7E-8518-3C9F91228886}" uniqueName="5" name="CCY" queryTableFieldId="5" dataDxfId="27"/>
    <tableColumn id="6" xr3:uid="{A9AB3695-C3FE-4357-8C0E-96EA0BD1203C}" uniqueName="6" name="DOC_AMOUNT" queryTableFieldId="6"/>
    <tableColumn id="8" xr3:uid="{521FFC17-0C3E-4A62-9407-2DE11CD40BA4}" uniqueName="8" name="TRANSACTION DATE" queryTableFieldId="8" dataDxfId="2"/>
    <tableColumn id="9" xr3:uid="{0C417F4C-F7CA-4166-A343-FE88CF5ACF84}" uniqueName="9" name="Ageing" queryTableFieldId="9"/>
    <tableColumn id="7" xr3:uid="{E4903E97-B82F-4B9C-A72D-0442AB838072}" uniqueName="7" name="Checker ID" queryTableFieldId="11"/>
    <tableColumn id="2" xr3:uid="{8EB1A388-0D02-4246-A35E-70440822B5F5}" uniqueName="2" name="Checker Name" queryTableFieldId="10" dataDxfId="26"/>
  </tableColumns>
  <tableStyleInfo name="TableStyleLight8"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3D01A78-73D5-4DE0-995D-29B9E368A9B9}" name="MIS_Report" displayName="MIS_Report" ref="A4:C10" totalsRowShown="0">
  <autoFilter ref="A4:C10" xr:uid="{F3D01A78-73D5-4DE0-995D-29B9E368A9B9}"/>
  <tableColumns count="3">
    <tableColumn id="1" xr3:uid="{A825645E-DD1B-49B4-8BDA-C69AB7C90FF7}" name="Region"/>
    <tableColumn id="2" xr3:uid="{ABF3DFBB-85E8-4E2B-80B6-B9E059BEF315}" name="Interval"/>
    <tableColumn id="3" xr3:uid="{55AE2289-2A9A-44E8-BB81-FBADC6E31292}" name="Count"/>
  </tableColumns>
  <tableStyleInfo name="TableStyleLight8"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DFE25412-9431-488F-B8A8-47257D3DB827}" name="MIS" displayName="MIS" ref="L2:R8" totalsRowShown="0" headerRowDxfId="25" dataDxfId="24" tableBorderDxfId="23">
  <autoFilter ref="L2:R8" xr:uid="{DFE25412-9431-488F-B8A8-47257D3DB827}"/>
  <tableColumns count="7">
    <tableColumn id="1" xr3:uid="{3AD85CAB-04E3-4D95-9B8D-6D689CC60B25}" name="Date" dataDxfId="22"/>
    <tableColumn id="2" xr3:uid="{CCDB4741-D64D-4380-B795-3B15C3C10381}" name="Riy-LT 60 Days" dataDxfId="21"/>
    <tableColumn id="3" xr3:uid="{0688D718-E6A9-4D0E-B5C3-D981EE3E559B}" name="Riy-MT 60 Days" dataDxfId="20"/>
    <tableColumn id="4" xr3:uid="{AFFE6216-D490-464F-BD9B-4E118B11C41A}" name="Jed-LT 60 Days" dataDxfId="19"/>
    <tableColumn id="5" xr3:uid="{E41D6AF4-ABC1-451E-8F57-9A0AF990470C}" name="Jed-MT 60 Days" dataDxfId="18"/>
    <tableColumn id="6" xr3:uid="{FBF593D0-4510-4320-B87F-0FA11B9A2981}" name="Dam-LT 60 Days" dataDxfId="17"/>
    <tableColumn id="7" xr3:uid="{232D40F6-EF87-4149-8094-57F0CDEBAF62}" name="Dam-MT 60 Days" dataDxfId="16"/>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5" Type="http://schemas.openxmlformats.org/officeDocument/2006/relationships/table" Target="../tables/table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4.xml"/><Relationship Id="rId5" Type="http://schemas.openxmlformats.org/officeDocument/2006/relationships/table" Target="../tables/table5.xml"/><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5.xml"/><Relationship Id="rId5" Type="http://schemas.openxmlformats.org/officeDocument/2006/relationships/table" Target="../tables/table8.xml"/><Relationship Id="rId4" Type="http://schemas.openxmlformats.org/officeDocument/2006/relationships/ctrlProp" Target="../ctrlProps/ctrlProp6.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8" Type="http://schemas.openxmlformats.org/officeDocument/2006/relationships/table" Target="../tables/table16.xml"/><Relationship Id="rId13" Type="http://schemas.openxmlformats.org/officeDocument/2006/relationships/table" Target="../tables/table21.xml"/><Relationship Id="rId3" Type="http://schemas.openxmlformats.org/officeDocument/2006/relationships/table" Target="../tables/table11.xml"/><Relationship Id="rId7" Type="http://schemas.openxmlformats.org/officeDocument/2006/relationships/table" Target="../tables/table15.xml"/><Relationship Id="rId12" Type="http://schemas.openxmlformats.org/officeDocument/2006/relationships/table" Target="../tables/table20.xml"/><Relationship Id="rId2" Type="http://schemas.openxmlformats.org/officeDocument/2006/relationships/table" Target="../tables/table10.xml"/><Relationship Id="rId16" Type="http://schemas.openxmlformats.org/officeDocument/2006/relationships/table" Target="../tables/table24.xml"/><Relationship Id="rId1" Type="http://schemas.openxmlformats.org/officeDocument/2006/relationships/printerSettings" Target="../printerSettings/printerSettings1.bin"/><Relationship Id="rId6" Type="http://schemas.openxmlformats.org/officeDocument/2006/relationships/table" Target="../tables/table14.xml"/><Relationship Id="rId11" Type="http://schemas.openxmlformats.org/officeDocument/2006/relationships/table" Target="../tables/table19.xml"/><Relationship Id="rId5" Type="http://schemas.openxmlformats.org/officeDocument/2006/relationships/table" Target="../tables/table13.xml"/><Relationship Id="rId15" Type="http://schemas.openxmlformats.org/officeDocument/2006/relationships/table" Target="../tables/table23.xml"/><Relationship Id="rId10" Type="http://schemas.openxmlformats.org/officeDocument/2006/relationships/table" Target="../tables/table18.xml"/><Relationship Id="rId4" Type="http://schemas.openxmlformats.org/officeDocument/2006/relationships/table" Target="../tables/table12.xml"/><Relationship Id="rId9" Type="http://schemas.openxmlformats.org/officeDocument/2006/relationships/table" Target="../tables/table17.xml"/><Relationship Id="rId14" Type="http://schemas.openxmlformats.org/officeDocument/2006/relationships/table" Target="../tables/table22.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drawing" Target="../drawings/drawing6.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drawing" Target="../drawings/drawing7.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drawing" Target="../drawings/drawing8.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drawing" Target="../drawings/drawing9.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30.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31.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32.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34.xml"/><Relationship Id="rId2" Type="http://schemas.openxmlformats.org/officeDocument/2006/relationships/table" Target="../tables/table33.xml"/><Relationship Id="rId1" Type="http://schemas.openxmlformats.org/officeDocument/2006/relationships/drawing" Target="../drawings/drawing10.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FEFFF-CCE2-44B3-B5EC-F32D28E16729}">
  <sheetPr codeName="WelcomePage"/>
  <dimension ref="A1:AA58"/>
  <sheetViews>
    <sheetView showGridLines="0" zoomScale="85" zoomScaleNormal="85" workbookViewId="0"/>
  </sheetViews>
  <sheetFormatPr defaultColWidth="0" defaultRowHeight="15" zeroHeight="1" x14ac:dyDescent="0.25"/>
  <cols>
    <col min="1" max="1" width="10.42578125" customWidth="1"/>
    <col min="2" max="20" width="9.140625" customWidth="1"/>
    <col min="21" max="27" width="9.140625" hidden="1" customWidth="1"/>
  </cols>
  <sheetData>
    <row r="1" customFormat="1" x14ac:dyDescent="0.25"/>
    <row r="2" customFormat="1" x14ac:dyDescent="0.25"/>
    <row r="3" customFormat="1" x14ac:dyDescent="0.25"/>
    <row r="4" customFormat="1" x14ac:dyDescent="0.25"/>
    <row r="5" customFormat="1" x14ac:dyDescent="0.25"/>
    <row r="6" customFormat="1" x14ac:dyDescent="0.25"/>
    <row r="7" customFormat="1" x14ac:dyDescent="0.25"/>
    <row r="8" customFormat="1" x14ac:dyDescent="0.25"/>
    <row r="9" customFormat="1" x14ac:dyDescent="0.25"/>
    <row r="10" customFormat="1" x14ac:dyDescent="0.25"/>
    <row r="11" customFormat="1" x14ac:dyDescent="0.25"/>
    <row r="12" customFormat="1" x14ac:dyDescent="0.25"/>
    <row r="13" customFormat="1" x14ac:dyDescent="0.25"/>
    <row r="14" customFormat="1" x14ac:dyDescent="0.25"/>
    <row r="15" customFormat="1" x14ac:dyDescent="0.25"/>
    <row r="16" customFormat="1" x14ac:dyDescent="0.25"/>
    <row r="17" customFormat="1" x14ac:dyDescent="0.25"/>
    <row r="18" customFormat="1" x14ac:dyDescent="0.25"/>
    <row r="19" customFormat="1" x14ac:dyDescent="0.25"/>
    <row r="20" customFormat="1" x14ac:dyDescent="0.25"/>
    <row r="21" customFormat="1" x14ac:dyDescent="0.25"/>
    <row r="22" customFormat="1" x14ac:dyDescent="0.25"/>
    <row r="23" customFormat="1" x14ac:dyDescent="0.25"/>
    <row r="24" customFormat="1" x14ac:dyDescent="0.25"/>
    <row r="25" customFormat="1" x14ac:dyDescent="0.25"/>
    <row r="26" customFormat="1" x14ac:dyDescent="0.25"/>
    <row r="27" customFormat="1" x14ac:dyDescent="0.25"/>
    <row r="28" customFormat="1" x14ac:dyDescent="0.25"/>
    <row r="29" customFormat="1" x14ac:dyDescent="0.25"/>
    <row r="30" customFormat="1" x14ac:dyDescent="0.25"/>
    <row r="31" customFormat="1" x14ac:dyDescent="0.25"/>
    <row r="32" customFormat="1" x14ac:dyDescent="0.25"/>
    <row r="33" spans="1:2" x14ac:dyDescent="0.25"/>
    <row r="34" spans="1:2" x14ac:dyDescent="0.25"/>
    <row r="35" spans="1:2" x14ac:dyDescent="0.25"/>
    <row r="36" spans="1:2" x14ac:dyDescent="0.25"/>
    <row r="37" spans="1:2" x14ac:dyDescent="0.25"/>
    <row r="38" spans="1:2" x14ac:dyDescent="0.25"/>
    <row r="39" spans="1:2" x14ac:dyDescent="0.25"/>
    <row r="40" spans="1:2" x14ac:dyDescent="0.25">
      <c r="A40" s="12" t="s">
        <v>244</v>
      </c>
      <c r="B40" s="13" t="s">
        <v>243</v>
      </c>
    </row>
    <row r="41" spans="1:2" x14ac:dyDescent="0.25"/>
    <row r="42" spans="1:2" x14ac:dyDescent="0.25"/>
    <row r="43" spans="1:2" x14ac:dyDescent="0.25"/>
    <row r="44" spans="1:2" x14ac:dyDescent="0.25"/>
    <row r="45" spans="1:2" x14ac:dyDescent="0.25"/>
    <row r="46" spans="1:2" x14ac:dyDescent="0.25"/>
    <row r="47" spans="1:2" x14ac:dyDescent="0.25"/>
    <row r="48" spans="1:2" x14ac:dyDescent="0.25"/>
    <row r="49" customFormat="1" x14ac:dyDescent="0.25"/>
    <row r="50" customFormat="1" x14ac:dyDescent="0.25"/>
    <row r="51" customFormat="1" x14ac:dyDescent="0.25"/>
    <row r="52" customFormat="1" x14ac:dyDescent="0.25"/>
    <row r="53" customFormat="1" x14ac:dyDescent="0.25"/>
    <row r="54" customFormat="1" x14ac:dyDescent="0.25"/>
    <row r="55" customFormat="1" x14ac:dyDescent="0.25"/>
    <row r="56" customFormat="1" x14ac:dyDescent="0.25"/>
    <row r="57" customFormat="1" x14ac:dyDescent="0.25"/>
    <row r="58" customFormat="1" x14ac:dyDescent="0.25"/>
  </sheetData>
  <dataValidations count="1">
    <dataValidation type="list" allowBlank="1" showInputMessage="1" showErrorMessage="1" promptTitle="Please select Environment" sqref="B40" xr:uid="{39EAC28A-0402-4FE7-80E1-CBA5C07BCB44}">
      <formula1>"Testing, Production"</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9D2C5D-F537-4E54-9C60-A6A82DC73412}">
  <sheetPr codeName="RIY_LT_60DAYS"/>
  <dimension ref="A1:K81"/>
  <sheetViews>
    <sheetView showGridLines="0" workbookViewId="0"/>
  </sheetViews>
  <sheetFormatPr defaultColWidth="0" defaultRowHeight="15" x14ac:dyDescent="0.25"/>
  <cols>
    <col min="1" max="1" width="12.5703125" customWidth="1"/>
    <col min="2" max="2" width="12.85546875" bestFit="1" customWidth="1"/>
    <col min="3" max="3" width="18.7109375" bestFit="1" customWidth="1"/>
    <col min="4" max="4" width="40" bestFit="1" customWidth="1"/>
    <col min="5" max="5" width="9.5703125" customWidth="1"/>
    <col min="6" max="6" width="18.7109375" bestFit="1" customWidth="1"/>
    <col min="7" max="7" width="24" bestFit="1" customWidth="1"/>
    <col min="8" max="8" width="11.5703125" bestFit="1" customWidth="1"/>
    <col min="9" max="9" width="9.28515625" bestFit="1" customWidth="1"/>
    <col min="10" max="10" width="9.28515625" customWidth="1"/>
    <col min="11" max="11" width="81.140625" hidden="1" customWidth="1"/>
    <col min="12" max="16384" width="9.140625" hidden="1"/>
  </cols>
  <sheetData>
    <row r="1" spans="1:8" ht="21" x14ac:dyDescent="0.35">
      <c r="B1" s="24" t="b">
        <v>1</v>
      </c>
      <c r="D1" s="9" t="s">
        <v>225</v>
      </c>
      <c r="G1" s="8" t="s">
        <v>185</v>
      </c>
      <c r="H1" s="10">
        <f>WorkingFile!$K$3</f>
        <v>5</v>
      </c>
    </row>
    <row r="3" spans="1:8" x14ac:dyDescent="0.25">
      <c r="A3" t="b">
        <v>1</v>
      </c>
      <c r="E3" s="23"/>
    </row>
    <row r="5" spans="1:8" x14ac:dyDescent="0.25">
      <c r="B5" s="4" t="s">
        <v>1</v>
      </c>
      <c r="C5" s="4" t="s">
        <v>0</v>
      </c>
      <c r="D5" s="4" t="s">
        <v>2</v>
      </c>
      <c r="E5" s="4" t="s">
        <v>3</v>
      </c>
      <c r="F5" s="4" t="s">
        <v>4</v>
      </c>
      <c r="G5" s="4" t="s">
        <v>5</v>
      </c>
      <c r="H5" s="4" t="s">
        <v>141</v>
      </c>
    </row>
    <row r="6" spans="1:8" x14ac:dyDescent="0.25">
      <c r="B6">
        <v>1000993</v>
      </c>
      <c r="C6" t="s">
        <v>520</v>
      </c>
      <c r="D6" t="s">
        <v>521</v>
      </c>
      <c r="E6" t="s">
        <v>7</v>
      </c>
      <c r="F6">
        <v>281456.67</v>
      </c>
      <c r="G6" s="1">
        <v>45301</v>
      </c>
      <c r="H6">
        <v>6</v>
      </c>
    </row>
    <row r="7" spans="1:8" x14ac:dyDescent="0.25">
      <c r="B7">
        <v>1000993</v>
      </c>
      <c r="C7" t="s">
        <v>245</v>
      </c>
      <c r="D7" t="s">
        <v>109</v>
      </c>
      <c r="E7" t="s">
        <v>7</v>
      </c>
      <c r="F7">
        <v>100104.27</v>
      </c>
      <c r="G7" s="1">
        <v>45287</v>
      </c>
      <c r="H7">
        <v>20</v>
      </c>
    </row>
    <row r="8" spans="1:8" x14ac:dyDescent="0.25">
      <c r="B8">
        <v>1001698</v>
      </c>
      <c r="C8" t="s">
        <v>246</v>
      </c>
      <c r="D8" t="s">
        <v>211</v>
      </c>
      <c r="E8" t="s">
        <v>7</v>
      </c>
      <c r="F8">
        <v>80322</v>
      </c>
      <c r="G8" s="1">
        <v>45284</v>
      </c>
      <c r="H8">
        <v>23</v>
      </c>
    </row>
    <row r="9" spans="1:8" x14ac:dyDescent="0.25">
      <c r="B9">
        <v>1001698</v>
      </c>
      <c r="C9" t="s">
        <v>522</v>
      </c>
      <c r="D9" t="s">
        <v>211</v>
      </c>
      <c r="E9" t="s">
        <v>7</v>
      </c>
      <c r="F9">
        <v>387946.75</v>
      </c>
      <c r="G9" s="1">
        <v>45301</v>
      </c>
      <c r="H9">
        <v>6</v>
      </c>
    </row>
    <row r="10" spans="1:8" x14ac:dyDescent="0.25">
      <c r="B10">
        <v>1001698</v>
      </c>
      <c r="C10" t="s">
        <v>128</v>
      </c>
      <c r="D10" t="s">
        <v>211</v>
      </c>
      <c r="E10" t="s">
        <v>7</v>
      </c>
      <c r="F10">
        <v>284280</v>
      </c>
      <c r="G10" s="1">
        <v>45272</v>
      </c>
      <c r="H10">
        <v>35</v>
      </c>
    </row>
    <row r="11" spans="1:8" x14ac:dyDescent="0.25">
      <c r="B11">
        <v>1001698</v>
      </c>
      <c r="C11" t="s">
        <v>427</v>
      </c>
      <c r="D11" t="s">
        <v>211</v>
      </c>
      <c r="E11" t="s">
        <v>7</v>
      </c>
      <c r="F11">
        <v>360679.96</v>
      </c>
      <c r="G11" s="1">
        <v>45295</v>
      </c>
      <c r="H11">
        <v>12</v>
      </c>
    </row>
    <row r="12" spans="1:8" x14ac:dyDescent="0.25">
      <c r="B12">
        <v>1001868</v>
      </c>
      <c r="C12" t="s">
        <v>247</v>
      </c>
      <c r="D12" t="s">
        <v>248</v>
      </c>
      <c r="E12" t="s">
        <v>21</v>
      </c>
      <c r="F12">
        <v>94815.360000000001</v>
      </c>
      <c r="G12" s="1">
        <v>45291</v>
      </c>
      <c r="H12">
        <v>16</v>
      </c>
    </row>
    <row r="13" spans="1:8" x14ac:dyDescent="0.25">
      <c r="B13">
        <v>1001949</v>
      </c>
      <c r="C13" t="s">
        <v>493</v>
      </c>
      <c r="D13" t="s">
        <v>494</v>
      </c>
      <c r="E13" t="s">
        <v>10</v>
      </c>
      <c r="F13">
        <v>190435</v>
      </c>
      <c r="G13" s="1">
        <v>45300</v>
      </c>
      <c r="H13">
        <v>7</v>
      </c>
    </row>
    <row r="14" spans="1:8" x14ac:dyDescent="0.25">
      <c r="B14">
        <v>1002511</v>
      </c>
      <c r="C14" t="s">
        <v>523</v>
      </c>
      <c r="D14" t="s">
        <v>428</v>
      </c>
      <c r="E14" t="s">
        <v>21</v>
      </c>
      <c r="F14">
        <v>507550.8</v>
      </c>
      <c r="G14" s="1">
        <v>45301</v>
      </c>
      <c r="H14">
        <v>6</v>
      </c>
    </row>
    <row r="15" spans="1:8" x14ac:dyDescent="0.25">
      <c r="B15">
        <v>1002775</v>
      </c>
      <c r="C15" t="s">
        <v>250</v>
      </c>
      <c r="D15" t="s">
        <v>130</v>
      </c>
      <c r="E15" t="s">
        <v>7</v>
      </c>
      <c r="F15">
        <v>3954385.17</v>
      </c>
      <c r="G15" s="1">
        <v>45291</v>
      </c>
      <c r="H15">
        <v>16</v>
      </c>
    </row>
    <row r="16" spans="1:8" x14ac:dyDescent="0.25">
      <c r="B16">
        <v>1002775</v>
      </c>
      <c r="C16" t="s">
        <v>249</v>
      </c>
      <c r="D16" t="s">
        <v>130</v>
      </c>
      <c r="E16" t="s">
        <v>7</v>
      </c>
      <c r="F16">
        <v>285729.58</v>
      </c>
      <c r="G16" s="1">
        <v>45284</v>
      </c>
      <c r="H16">
        <v>23</v>
      </c>
    </row>
    <row r="17" spans="2:8" x14ac:dyDescent="0.25">
      <c r="B17">
        <v>1003488</v>
      </c>
      <c r="C17" t="s">
        <v>251</v>
      </c>
      <c r="D17" t="s">
        <v>212</v>
      </c>
      <c r="E17" t="s">
        <v>10</v>
      </c>
      <c r="F17">
        <v>38932.199999999997</v>
      </c>
      <c r="G17" s="1">
        <v>45292</v>
      </c>
      <c r="H17">
        <v>15</v>
      </c>
    </row>
    <row r="18" spans="2:8" x14ac:dyDescent="0.25">
      <c r="B18">
        <v>1003836</v>
      </c>
      <c r="C18" t="s">
        <v>429</v>
      </c>
      <c r="D18" t="s">
        <v>252</v>
      </c>
      <c r="E18" t="s">
        <v>7</v>
      </c>
      <c r="F18">
        <v>1326814.1200000001</v>
      </c>
      <c r="G18" s="1">
        <v>45295</v>
      </c>
      <c r="H18">
        <v>12</v>
      </c>
    </row>
    <row r="19" spans="2:8" x14ac:dyDescent="0.25">
      <c r="B19">
        <v>1003836</v>
      </c>
      <c r="C19" t="s">
        <v>562</v>
      </c>
      <c r="D19" t="s">
        <v>563</v>
      </c>
      <c r="E19" t="s">
        <v>104</v>
      </c>
      <c r="F19">
        <v>329959.05</v>
      </c>
      <c r="G19" s="1">
        <v>45302</v>
      </c>
      <c r="H19">
        <v>5</v>
      </c>
    </row>
    <row r="20" spans="2:8" x14ac:dyDescent="0.25">
      <c r="B20">
        <v>1003836</v>
      </c>
      <c r="C20" t="s">
        <v>564</v>
      </c>
      <c r="D20" t="s">
        <v>563</v>
      </c>
      <c r="E20" t="s">
        <v>104</v>
      </c>
      <c r="F20">
        <v>2804651.89</v>
      </c>
      <c r="G20" s="1">
        <v>45302</v>
      </c>
      <c r="H20">
        <v>5</v>
      </c>
    </row>
    <row r="21" spans="2:8" x14ac:dyDescent="0.25">
      <c r="B21">
        <v>1005863</v>
      </c>
      <c r="C21" t="s">
        <v>524</v>
      </c>
      <c r="D21" t="s">
        <v>525</v>
      </c>
      <c r="E21" t="s">
        <v>7</v>
      </c>
      <c r="F21">
        <v>997174.56</v>
      </c>
      <c r="G21" s="1">
        <v>45301</v>
      </c>
      <c r="H21">
        <v>6</v>
      </c>
    </row>
    <row r="22" spans="2:8" x14ac:dyDescent="0.25">
      <c r="B22">
        <v>1006835</v>
      </c>
      <c r="C22" t="s">
        <v>254</v>
      </c>
      <c r="D22" t="s">
        <v>91</v>
      </c>
      <c r="E22" t="s">
        <v>21</v>
      </c>
      <c r="F22">
        <v>60666</v>
      </c>
      <c r="G22" s="1">
        <v>45293</v>
      </c>
      <c r="H22">
        <v>14</v>
      </c>
    </row>
    <row r="23" spans="2:8" x14ac:dyDescent="0.25">
      <c r="B23">
        <v>1006835</v>
      </c>
      <c r="C23" t="s">
        <v>495</v>
      </c>
      <c r="D23" t="s">
        <v>91</v>
      </c>
      <c r="E23" t="s">
        <v>21</v>
      </c>
      <c r="F23">
        <v>12103.2</v>
      </c>
      <c r="G23" s="1">
        <v>45299</v>
      </c>
      <c r="H23">
        <v>8</v>
      </c>
    </row>
    <row r="24" spans="2:8" x14ac:dyDescent="0.25">
      <c r="B24">
        <v>1006835</v>
      </c>
      <c r="C24" t="s">
        <v>526</v>
      </c>
      <c r="D24" t="s">
        <v>91</v>
      </c>
      <c r="E24" t="s">
        <v>21</v>
      </c>
      <c r="F24">
        <v>403813.2</v>
      </c>
      <c r="G24" s="1">
        <v>45301</v>
      </c>
      <c r="H24">
        <v>6</v>
      </c>
    </row>
    <row r="25" spans="2:8" x14ac:dyDescent="0.25">
      <c r="B25">
        <v>1006835</v>
      </c>
      <c r="C25" t="s">
        <v>253</v>
      </c>
      <c r="D25" t="s">
        <v>91</v>
      </c>
      <c r="E25" t="s">
        <v>21</v>
      </c>
      <c r="F25">
        <v>54032.4</v>
      </c>
      <c r="G25" s="1">
        <v>45291</v>
      </c>
      <c r="H25">
        <v>16</v>
      </c>
    </row>
    <row r="26" spans="2:8" x14ac:dyDescent="0.25">
      <c r="B26">
        <v>1017497</v>
      </c>
      <c r="C26" t="s">
        <v>431</v>
      </c>
      <c r="D26" t="s">
        <v>6</v>
      </c>
      <c r="E26" t="s">
        <v>7</v>
      </c>
      <c r="F26">
        <v>250000</v>
      </c>
      <c r="G26" s="1">
        <v>45298</v>
      </c>
      <c r="H26">
        <v>9</v>
      </c>
    </row>
    <row r="27" spans="2:8" x14ac:dyDescent="0.25">
      <c r="B27">
        <v>1017497</v>
      </c>
      <c r="C27" t="s">
        <v>430</v>
      </c>
      <c r="D27" t="s">
        <v>6</v>
      </c>
      <c r="E27" t="s">
        <v>7</v>
      </c>
      <c r="F27">
        <v>500000</v>
      </c>
      <c r="G27" s="1">
        <v>45298</v>
      </c>
      <c r="H27">
        <v>9</v>
      </c>
    </row>
    <row r="28" spans="2:8" x14ac:dyDescent="0.25">
      <c r="B28">
        <v>1017497</v>
      </c>
      <c r="C28" t="s">
        <v>255</v>
      </c>
      <c r="D28" t="s">
        <v>6</v>
      </c>
      <c r="E28" t="s">
        <v>7</v>
      </c>
      <c r="F28">
        <v>150000</v>
      </c>
      <c r="G28" s="1">
        <v>45288</v>
      </c>
      <c r="H28">
        <v>19</v>
      </c>
    </row>
    <row r="29" spans="2:8" x14ac:dyDescent="0.25">
      <c r="B29">
        <v>1017594</v>
      </c>
      <c r="C29" t="s">
        <v>117</v>
      </c>
      <c r="D29" t="s">
        <v>93</v>
      </c>
      <c r="E29" t="s">
        <v>7</v>
      </c>
      <c r="F29">
        <v>314176.37</v>
      </c>
      <c r="G29" s="1">
        <v>45263</v>
      </c>
      <c r="H29">
        <v>44</v>
      </c>
    </row>
    <row r="30" spans="2:8" x14ac:dyDescent="0.25">
      <c r="B30">
        <v>1017594</v>
      </c>
      <c r="C30" t="s">
        <v>565</v>
      </c>
      <c r="D30" t="s">
        <v>93</v>
      </c>
      <c r="E30" t="s">
        <v>7</v>
      </c>
      <c r="F30">
        <v>125996.37</v>
      </c>
      <c r="G30" s="1">
        <v>45302</v>
      </c>
      <c r="H30">
        <v>5</v>
      </c>
    </row>
    <row r="31" spans="2:8" x14ac:dyDescent="0.25">
      <c r="B31">
        <v>1017594</v>
      </c>
      <c r="C31" t="s">
        <v>432</v>
      </c>
      <c r="D31" t="s">
        <v>93</v>
      </c>
      <c r="E31" t="s">
        <v>7</v>
      </c>
      <c r="F31">
        <v>250000</v>
      </c>
      <c r="G31" s="1">
        <v>45298</v>
      </c>
      <c r="H31">
        <v>9</v>
      </c>
    </row>
    <row r="32" spans="2:8" x14ac:dyDescent="0.25">
      <c r="B32">
        <v>1033522</v>
      </c>
      <c r="C32" t="s">
        <v>256</v>
      </c>
      <c r="D32" t="s">
        <v>257</v>
      </c>
      <c r="E32" t="s">
        <v>7</v>
      </c>
      <c r="F32">
        <v>284970</v>
      </c>
      <c r="G32" s="1">
        <v>45284</v>
      </c>
      <c r="H32">
        <v>23</v>
      </c>
    </row>
    <row r="33" spans="2:8" x14ac:dyDescent="0.25">
      <c r="B33">
        <v>1033522</v>
      </c>
      <c r="C33" t="s">
        <v>15</v>
      </c>
      <c r="D33" t="s">
        <v>16</v>
      </c>
      <c r="E33" t="s">
        <v>7</v>
      </c>
      <c r="F33">
        <v>160856.32000000001</v>
      </c>
      <c r="G33" s="1">
        <v>45272</v>
      </c>
      <c r="H33">
        <v>35</v>
      </c>
    </row>
    <row r="34" spans="2:8" x14ac:dyDescent="0.25">
      <c r="B34">
        <v>1066609</v>
      </c>
      <c r="C34" t="s">
        <v>527</v>
      </c>
      <c r="D34" t="s">
        <v>433</v>
      </c>
      <c r="E34" t="s">
        <v>7</v>
      </c>
      <c r="F34">
        <v>500000</v>
      </c>
      <c r="G34" s="1">
        <v>45301</v>
      </c>
      <c r="H34">
        <v>6</v>
      </c>
    </row>
    <row r="35" spans="2:8" x14ac:dyDescent="0.25">
      <c r="B35">
        <v>1084275</v>
      </c>
      <c r="C35" t="s">
        <v>258</v>
      </c>
      <c r="D35" t="s">
        <v>259</v>
      </c>
      <c r="E35" t="s">
        <v>7</v>
      </c>
      <c r="F35">
        <v>286530</v>
      </c>
      <c r="G35" s="1">
        <v>45280</v>
      </c>
      <c r="H35">
        <v>27</v>
      </c>
    </row>
    <row r="36" spans="2:8" x14ac:dyDescent="0.25">
      <c r="B36">
        <v>1088646</v>
      </c>
      <c r="C36" t="s">
        <v>496</v>
      </c>
      <c r="D36" t="s">
        <v>497</v>
      </c>
      <c r="E36" t="s">
        <v>21</v>
      </c>
      <c r="F36">
        <v>80567.61</v>
      </c>
      <c r="G36" s="1">
        <v>45300</v>
      </c>
      <c r="H36">
        <v>7</v>
      </c>
    </row>
    <row r="37" spans="2:8" x14ac:dyDescent="0.25">
      <c r="B37">
        <v>1088704</v>
      </c>
      <c r="C37" t="s">
        <v>528</v>
      </c>
      <c r="D37" t="s">
        <v>261</v>
      </c>
      <c r="E37" t="s">
        <v>21</v>
      </c>
      <c r="F37">
        <v>50038</v>
      </c>
      <c r="G37" s="1">
        <v>45301</v>
      </c>
      <c r="H37">
        <v>6</v>
      </c>
    </row>
    <row r="38" spans="2:8" x14ac:dyDescent="0.25">
      <c r="B38">
        <v>1088704</v>
      </c>
      <c r="C38" t="s">
        <v>260</v>
      </c>
      <c r="D38" t="s">
        <v>261</v>
      </c>
      <c r="E38" t="s">
        <v>21</v>
      </c>
      <c r="F38">
        <v>49644</v>
      </c>
      <c r="G38" s="1">
        <v>45280</v>
      </c>
      <c r="H38">
        <v>27</v>
      </c>
    </row>
    <row r="39" spans="2:8" x14ac:dyDescent="0.25">
      <c r="B39">
        <v>1088818</v>
      </c>
      <c r="C39" t="s">
        <v>77</v>
      </c>
      <c r="D39" t="s">
        <v>78</v>
      </c>
      <c r="E39" t="s">
        <v>10</v>
      </c>
      <c r="F39">
        <v>245000</v>
      </c>
      <c r="G39" s="1">
        <v>45264</v>
      </c>
      <c r="H39">
        <v>43</v>
      </c>
    </row>
    <row r="40" spans="2:8" x14ac:dyDescent="0.25">
      <c r="B40">
        <v>1088833</v>
      </c>
      <c r="C40" t="s">
        <v>118</v>
      </c>
      <c r="D40" t="s">
        <v>213</v>
      </c>
      <c r="E40" t="s">
        <v>7</v>
      </c>
      <c r="F40">
        <v>149451</v>
      </c>
      <c r="G40" s="1">
        <v>45257</v>
      </c>
      <c r="H40">
        <v>50</v>
      </c>
    </row>
    <row r="41" spans="2:8" x14ac:dyDescent="0.25">
      <c r="B41">
        <v>1088833</v>
      </c>
      <c r="C41" t="s">
        <v>120</v>
      </c>
      <c r="D41" t="s">
        <v>213</v>
      </c>
      <c r="E41" t="s">
        <v>7</v>
      </c>
      <c r="F41">
        <v>71617.77</v>
      </c>
      <c r="G41" s="1">
        <v>45257</v>
      </c>
      <c r="H41">
        <v>50</v>
      </c>
    </row>
    <row r="42" spans="2:8" x14ac:dyDescent="0.25">
      <c r="B42">
        <v>1089515</v>
      </c>
      <c r="C42" t="s">
        <v>262</v>
      </c>
      <c r="D42" t="s">
        <v>263</v>
      </c>
      <c r="E42" t="s">
        <v>7</v>
      </c>
      <c r="F42">
        <v>1000000</v>
      </c>
      <c r="G42" s="1">
        <v>45291</v>
      </c>
      <c r="H42">
        <v>16</v>
      </c>
    </row>
    <row r="43" spans="2:8" x14ac:dyDescent="0.25">
      <c r="B43">
        <v>2000121</v>
      </c>
      <c r="C43" t="s">
        <v>266</v>
      </c>
      <c r="D43" t="s">
        <v>121</v>
      </c>
      <c r="E43" t="s">
        <v>7</v>
      </c>
      <c r="F43">
        <v>2141528.85</v>
      </c>
      <c r="G43" s="1">
        <v>45291</v>
      </c>
      <c r="H43">
        <v>16</v>
      </c>
    </row>
    <row r="44" spans="2:8" x14ac:dyDescent="0.25">
      <c r="B44">
        <v>2000121</v>
      </c>
      <c r="C44" t="s">
        <v>264</v>
      </c>
      <c r="D44" t="s">
        <v>121</v>
      </c>
      <c r="E44" t="s">
        <v>7</v>
      </c>
      <c r="F44">
        <v>2141528.85</v>
      </c>
      <c r="G44" s="1">
        <v>45291</v>
      </c>
      <c r="H44">
        <v>16</v>
      </c>
    </row>
    <row r="45" spans="2:8" x14ac:dyDescent="0.25">
      <c r="B45">
        <v>2000121</v>
      </c>
      <c r="C45" t="s">
        <v>275</v>
      </c>
      <c r="D45" t="s">
        <v>121</v>
      </c>
      <c r="E45" t="s">
        <v>7</v>
      </c>
      <c r="F45">
        <v>2141528.85</v>
      </c>
      <c r="G45" s="1">
        <v>45291</v>
      </c>
      <c r="H45">
        <v>16</v>
      </c>
    </row>
    <row r="46" spans="2:8" x14ac:dyDescent="0.25">
      <c r="B46">
        <v>2000121</v>
      </c>
      <c r="C46" t="s">
        <v>267</v>
      </c>
      <c r="D46" t="s">
        <v>121</v>
      </c>
      <c r="E46" t="s">
        <v>7</v>
      </c>
      <c r="F46">
        <v>127712.15</v>
      </c>
      <c r="G46" s="1">
        <v>45284</v>
      </c>
      <c r="H46">
        <v>23</v>
      </c>
    </row>
    <row r="47" spans="2:8" x14ac:dyDescent="0.25">
      <c r="B47">
        <v>2000121</v>
      </c>
      <c r="C47" t="s">
        <v>268</v>
      </c>
      <c r="D47" t="s">
        <v>214</v>
      </c>
      <c r="E47" t="s">
        <v>7</v>
      </c>
      <c r="F47">
        <v>218670.02</v>
      </c>
      <c r="G47" s="1">
        <v>45287</v>
      </c>
      <c r="H47">
        <v>20</v>
      </c>
    </row>
    <row r="48" spans="2:8" x14ac:dyDescent="0.25">
      <c r="B48">
        <v>2000121</v>
      </c>
      <c r="C48" t="s">
        <v>270</v>
      </c>
      <c r="D48" t="s">
        <v>121</v>
      </c>
      <c r="E48" t="s">
        <v>7</v>
      </c>
      <c r="F48">
        <v>346840</v>
      </c>
      <c r="G48" s="1">
        <v>45277</v>
      </c>
      <c r="H48">
        <v>30</v>
      </c>
    </row>
    <row r="49" spans="2:8" x14ac:dyDescent="0.25">
      <c r="B49">
        <v>2000121</v>
      </c>
      <c r="C49" t="s">
        <v>269</v>
      </c>
      <c r="D49" t="s">
        <v>121</v>
      </c>
      <c r="E49" t="s">
        <v>7</v>
      </c>
      <c r="F49">
        <v>2141528.85</v>
      </c>
      <c r="G49" s="1">
        <v>45291</v>
      </c>
      <c r="H49">
        <v>16</v>
      </c>
    </row>
    <row r="50" spans="2:8" x14ac:dyDescent="0.25">
      <c r="B50">
        <v>2000121</v>
      </c>
      <c r="C50" t="s">
        <v>265</v>
      </c>
      <c r="D50" t="s">
        <v>121</v>
      </c>
      <c r="E50" t="s">
        <v>7</v>
      </c>
      <c r="F50">
        <v>2141528.85</v>
      </c>
      <c r="G50" s="1">
        <v>45291</v>
      </c>
      <c r="H50">
        <v>16</v>
      </c>
    </row>
    <row r="51" spans="2:8" x14ac:dyDescent="0.25">
      <c r="B51">
        <v>2000121</v>
      </c>
      <c r="C51" t="s">
        <v>274</v>
      </c>
      <c r="D51" t="s">
        <v>121</v>
      </c>
      <c r="E51" t="s">
        <v>7</v>
      </c>
      <c r="F51">
        <v>179918.12</v>
      </c>
      <c r="G51" s="1">
        <v>45284</v>
      </c>
      <c r="H51">
        <v>23</v>
      </c>
    </row>
    <row r="52" spans="2:8" x14ac:dyDescent="0.25">
      <c r="B52">
        <v>2000121</v>
      </c>
      <c r="C52" t="s">
        <v>272</v>
      </c>
      <c r="D52" t="s">
        <v>121</v>
      </c>
      <c r="E52" t="s">
        <v>7</v>
      </c>
      <c r="F52">
        <v>3715426.47</v>
      </c>
      <c r="G52" s="1">
        <v>45284</v>
      </c>
      <c r="H52">
        <v>23</v>
      </c>
    </row>
    <row r="53" spans="2:8" x14ac:dyDescent="0.25">
      <c r="B53">
        <v>2000121</v>
      </c>
      <c r="C53" t="s">
        <v>271</v>
      </c>
      <c r="D53" t="s">
        <v>214</v>
      </c>
      <c r="E53" t="s">
        <v>7</v>
      </c>
      <c r="F53">
        <v>1346924.15</v>
      </c>
      <c r="G53" s="1">
        <v>45284</v>
      </c>
      <c r="H53">
        <v>23</v>
      </c>
    </row>
    <row r="54" spans="2:8" x14ac:dyDescent="0.25">
      <c r="B54">
        <v>2000121</v>
      </c>
      <c r="C54" t="s">
        <v>273</v>
      </c>
      <c r="D54" t="s">
        <v>121</v>
      </c>
      <c r="E54" t="s">
        <v>7</v>
      </c>
      <c r="F54">
        <v>1483303.4</v>
      </c>
      <c r="G54" s="1">
        <v>45284</v>
      </c>
      <c r="H54">
        <v>23</v>
      </c>
    </row>
    <row r="55" spans="2:8" x14ac:dyDescent="0.25">
      <c r="B55">
        <v>2001398</v>
      </c>
      <c r="C55" t="s">
        <v>276</v>
      </c>
      <c r="D55" t="s">
        <v>277</v>
      </c>
      <c r="E55" t="s">
        <v>7</v>
      </c>
      <c r="F55">
        <v>139288</v>
      </c>
      <c r="G55" s="1">
        <v>45294</v>
      </c>
      <c r="H55">
        <v>13</v>
      </c>
    </row>
    <row r="56" spans="2:8" x14ac:dyDescent="0.25">
      <c r="B56">
        <v>2001398</v>
      </c>
      <c r="C56" t="s">
        <v>278</v>
      </c>
      <c r="D56" t="s">
        <v>277</v>
      </c>
      <c r="E56" t="s">
        <v>7</v>
      </c>
      <c r="F56">
        <v>98548.91</v>
      </c>
      <c r="G56" s="1">
        <v>45294</v>
      </c>
      <c r="H56">
        <v>13</v>
      </c>
    </row>
    <row r="57" spans="2:8" x14ac:dyDescent="0.25">
      <c r="B57">
        <v>2002452</v>
      </c>
      <c r="C57" t="s">
        <v>529</v>
      </c>
      <c r="D57" t="s">
        <v>530</v>
      </c>
      <c r="E57" t="s">
        <v>7</v>
      </c>
      <c r="F57">
        <v>435045</v>
      </c>
      <c r="G57" s="1">
        <v>45301</v>
      </c>
      <c r="H57">
        <v>6</v>
      </c>
    </row>
    <row r="58" spans="2:8" x14ac:dyDescent="0.25">
      <c r="B58">
        <v>2002545</v>
      </c>
      <c r="C58" t="s">
        <v>279</v>
      </c>
      <c r="D58" t="s">
        <v>280</v>
      </c>
      <c r="E58" t="s">
        <v>7</v>
      </c>
      <c r="F58">
        <v>262979.44</v>
      </c>
      <c r="G58" s="1">
        <v>45294</v>
      </c>
      <c r="H58">
        <v>13</v>
      </c>
    </row>
    <row r="59" spans="2:8" x14ac:dyDescent="0.25">
      <c r="B59">
        <v>2003103</v>
      </c>
      <c r="C59" t="s">
        <v>283</v>
      </c>
      <c r="D59" t="s">
        <v>282</v>
      </c>
      <c r="E59" t="s">
        <v>7</v>
      </c>
      <c r="F59">
        <v>114425</v>
      </c>
      <c r="G59" s="1">
        <v>45294</v>
      </c>
      <c r="H59">
        <v>13</v>
      </c>
    </row>
    <row r="60" spans="2:8" x14ac:dyDescent="0.25">
      <c r="B60">
        <v>2003103</v>
      </c>
      <c r="C60" t="s">
        <v>281</v>
      </c>
      <c r="D60" t="s">
        <v>282</v>
      </c>
      <c r="E60" t="s">
        <v>7</v>
      </c>
      <c r="F60">
        <v>512877</v>
      </c>
      <c r="G60" s="1">
        <v>45294</v>
      </c>
      <c r="H60">
        <v>13</v>
      </c>
    </row>
    <row r="61" spans="2:8" x14ac:dyDescent="0.25">
      <c r="B61">
        <v>2003794</v>
      </c>
      <c r="C61" t="s">
        <v>566</v>
      </c>
      <c r="D61" t="s">
        <v>567</v>
      </c>
      <c r="E61" t="s">
        <v>21</v>
      </c>
      <c r="F61">
        <v>15962.9</v>
      </c>
      <c r="G61" s="1">
        <v>45301</v>
      </c>
      <c r="H61">
        <v>6</v>
      </c>
    </row>
    <row r="62" spans="2:8" x14ac:dyDescent="0.25">
      <c r="B62">
        <v>2003973</v>
      </c>
      <c r="C62" t="s">
        <v>531</v>
      </c>
      <c r="D62" t="s">
        <v>532</v>
      </c>
      <c r="E62" t="s">
        <v>7</v>
      </c>
      <c r="F62">
        <v>700000</v>
      </c>
      <c r="G62" s="1">
        <v>45301</v>
      </c>
      <c r="H62">
        <v>6</v>
      </c>
    </row>
    <row r="63" spans="2:8" x14ac:dyDescent="0.25">
      <c r="B63">
        <v>2004792</v>
      </c>
      <c r="C63" t="s">
        <v>284</v>
      </c>
      <c r="D63" t="s">
        <v>215</v>
      </c>
      <c r="E63" t="s">
        <v>7</v>
      </c>
      <c r="F63">
        <v>180325.75</v>
      </c>
      <c r="G63" s="1">
        <v>45287</v>
      </c>
      <c r="H63">
        <v>20</v>
      </c>
    </row>
    <row r="64" spans="2:8" x14ac:dyDescent="0.25">
      <c r="B64">
        <v>2004792</v>
      </c>
      <c r="C64" t="s">
        <v>139</v>
      </c>
      <c r="D64" t="s">
        <v>215</v>
      </c>
      <c r="E64" t="s">
        <v>7</v>
      </c>
      <c r="F64">
        <v>180325.75</v>
      </c>
      <c r="G64" s="1">
        <v>45272</v>
      </c>
      <c r="H64">
        <v>35</v>
      </c>
    </row>
    <row r="65" spans="2:8" x14ac:dyDescent="0.25">
      <c r="B65">
        <v>2006641</v>
      </c>
      <c r="C65" t="s">
        <v>287</v>
      </c>
      <c r="D65" t="s">
        <v>136</v>
      </c>
      <c r="E65" t="s">
        <v>7</v>
      </c>
      <c r="F65">
        <v>512050.64</v>
      </c>
      <c r="G65" s="1">
        <v>45293</v>
      </c>
      <c r="H65">
        <v>14</v>
      </c>
    </row>
    <row r="66" spans="2:8" x14ac:dyDescent="0.25">
      <c r="B66">
        <v>2006641</v>
      </c>
      <c r="C66" t="s">
        <v>434</v>
      </c>
      <c r="D66" t="s">
        <v>136</v>
      </c>
      <c r="E66" t="s">
        <v>7</v>
      </c>
      <c r="F66">
        <v>654916.94999999995</v>
      </c>
      <c r="G66" s="1">
        <v>45295</v>
      </c>
      <c r="H66">
        <v>12</v>
      </c>
    </row>
    <row r="67" spans="2:8" x14ac:dyDescent="0.25">
      <c r="B67">
        <v>2006641</v>
      </c>
      <c r="C67" t="s">
        <v>285</v>
      </c>
      <c r="D67" t="s">
        <v>286</v>
      </c>
      <c r="E67" t="s">
        <v>7</v>
      </c>
      <c r="F67">
        <v>819030</v>
      </c>
      <c r="G67" s="1">
        <v>45291</v>
      </c>
      <c r="H67">
        <v>16</v>
      </c>
    </row>
    <row r="68" spans="2:8" x14ac:dyDescent="0.25">
      <c r="B68">
        <v>2006641</v>
      </c>
      <c r="C68" t="s">
        <v>135</v>
      </c>
      <c r="D68" t="s">
        <v>136</v>
      </c>
      <c r="E68" t="s">
        <v>7</v>
      </c>
      <c r="F68">
        <v>433612.1</v>
      </c>
      <c r="G68" s="1">
        <v>45249</v>
      </c>
      <c r="H68">
        <v>58</v>
      </c>
    </row>
    <row r="69" spans="2:8" x14ac:dyDescent="0.25">
      <c r="B69">
        <v>2007283</v>
      </c>
      <c r="C69" t="s">
        <v>498</v>
      </c>
      <c r="D69" t="s">
        <v>106</v>
      </c>
      <c r="E69" t="s">
        <v>7</v>
      </c>
      <c r="F69">
        <v>77745.27</v>
      </c>
      <c r="G69" s="1">
        <v>45300</v>
      </c>
      <c r="H69">
        <v>7</v>
      </c>
    </row>
    <row r="70" spans="2:8" x14ac:dyDescent="0.25">
      <c r="B70">
        <v>2007283</v>
      </c>
      <c r="C70" t="s">
        <v>107</v>
      </c>
      <c r="D70" t="s">
        <v>108</v>
      </c>
      <c r="E70" t="s">
        <v>7</v>
      </c>
      <c r="F70">
        <v>517646.36</v>
      </c>
      <c r="G70" s="1">
        <v>45265</v>
      </c>
      <c r="H70">
        <v>42</v>
      </c>
    </row>
    <row r="71" spans="2:8" x14ac:dyDescent="0.25">
      <c r="B71">
        <v>2009048</v>
      </c>
      <c r="C71" t="s">
        <v>442</v>
      </c>
      <c r="D71" t="s">
        <v>443</v>
      </c>
      <c r="E71" t="s">
        <v>7</v>
      </c>
      <c r="F71">
        <v>203714.9</v>
      </c>
      <c r="G71" s="1">
        <v>45299</v>
      </c>
      <c r="H71">
        <v>8</v>
      </c>
    </row>
    <row r="72" spans="2:8" x14ac:dyDescent="0.25">
      <c r="B72">
        <v>2009048</v>
      </c>
      <c r="C72" t="s">
        <v>533</v>
      </c>
      <c r="D72" t="s">
        <v>443</v>
      </c>
      <c r="E72" t="s">
        <v>7</v>
      </c>
      <c r="F72">
        <v>45104.9</v>
      </c>
      <c r="G72" s="1">
        <v>45301</v>
      </c>
      <c r="H72">
        <v>6</v>
      </c>
    </row>
    <row r="73" spans="2:8" x14ac:dyDescent="0.25">
      <c r="B73">
        <v>2009048</v>
      </c>
      <c r="C73" t="s">
        <v>568</v>
      </c>
      <c r="D73" t="s">
        <v>443</v>
      </c>
      <c r="E73" t="s">
        <v>7</v>
      </c>
      <c r="F73">
        <v>1955000</v>
      </c>
      <c r="G73" s="1">
        <v>45302</v>
      </c>
      <c r="H73">
        <v>5</v>
      </c>
    </row>
    <row r="74" spans="2:8" x14ac:dyDescent="0.25">
      <c r="B74">
        <v>2009231</v>
      </c>
      <c r="C74" t="s">
        <v>499</v>
      </c>
      <c r="D74" t="s">
        <v>500</v>
      </c>
      <c r="E74" t="s">
        <v>7</v>
      </c>
      <c r="F74">
        <v>502435.34</v>
      </c>
      <c r="G74" s="1">
        <v>45300</v>
      </c>
      <c r="H74">
        <v>7</v>
      </c>
    </row>
    <row r="75" spans="2:8" x14ac:dyDescent="0.25">
      <c r="B75">
        <v>2010705</v>
      </c>
      <c r="C75" t="s">
        <v>534</v>
      </c>
      <c r="D75" t="s">
        <v>535</v>
      </c>
      <c r="E75" t="s">
        <v>7</v>
      </c>
      <c r="F75">
        <v>500000</v>
      </c>
      <c r="G75" s="1">
        <v>45301</v>
      </c>
      <c r="H75">
        <v>6</v>
      </c>
    </row>
    <row r="76" spans="2:8" x14ac:dyDescent="0.25">
      <c r="B76">
        <v>2015159</v>
      </c>
      <c r="C76" t="s">
        <v>569</v>
      </c>
      <c r="D76" t="s">
        <v>41</v>
      </c>
      <c r="E76" t="s">
        <v>7</v>
      </c>
      <c r="F76">
        <v>99298.26</v>
      </c>
      <c r="G76" s="1">
        <v>45302</v>
      </c>
      <c r="H76">
        <v>5</v>
      </c>
    </row>
    <row r="77" spans="2:8" x14ac:dyDescent="0.25">
      <c r="B77">
        <v>2015159</v>
      </c>
      <c r="C77" t="s">
        <v>501</v>
      </c>
      <c r="D77" t="s">
        <v>41</v>
      </c>
      <c r="E77" t="s">
        <v>7</v>
      </c>
      <c r="F77">
        <v>4379282.26</v>
      </c>
      <c r="G77" s="1">
        <v>45300</v>
      </c>
      <c r="H77">
        <v>7</v>
      </c>
    </row>
    <row r="78" spans="2:8" x14ac:dyDescent="0.25">
      <c r="B78">
        <v>2017412</v>
      </c>
      <c r="C78" t="s">
        <v>137</v>
      </c>
      <c r="D78" t="s">
        <v>217</v>
      </c>
      <c r="E78" t="s">
        <v>7</v>
      </c>
      <c r="F78">
        <v>336145.99</v>
      </c>
      <c r="G78" s="1">
        <v>45267</v>
      </c>
      <c r="H78">
        <v>40</v>
      </c>
    </row>
    <row r="79" spans="2:8" x14ac:dyDescent="0.25">
      <c r="B79">
        <v>2018359</v>
      </c>
      <c r="C79" t="s">
        <v>444</v>
      </c>
      <c r="D79" t="s">
        <v>445</v>
      </c>
      <c r="E79" t="s">
        <v>21</v>
      </c>
      <c r="F79">
        <v>196000</v>
      </c>
      <c r="G79" s="1">
        <v>45299</v>
      </c>
      <c r="H79">
        <v>8</v>
      </c>
    </row>
    <row r="80" spans="2:8" x14ac:dyDescent="0.25">
      <c r="B80">
        <v>2019013</v>
      </c>
      <c r="C80" t="s">
        <v>288</v>
      </c>
      <c r="D80" t="s">
        <v>218</v>
      </c>
      <c r="E80" t="s">
        <v>7</v>
      </c>
      <c r="F80">
        <v>742755.11</v>
      </c>
      <c r="G80" s="1">
        <v>45284</v>
      </c>
      <c r="H80">
        <v>23</v>
      </c>
    </row>
    <row r="81" spans="2:8" x14ac:dyDescent="0.25">
      <c r="B81">
        <v>2022274</v>
      </c>
      <c r="C81" t="s">
        <v>289</v>
      </c>
      <c r="D81" t="s">
        <v>290</v>
      </c>
      <c r="E81" t="s">
        <v>7</v>
      </c>
      <c r="F81">
        <v>117127.75</v>
      </c>
      <c r="G81" s="1">
        <v>45293</v>
      </c>
      <c r="H81">
        <v>14</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Check Box 1">
              <controlPr defaultSize="0" autoFill="0" autoLine="0" autoPict="0">
                <anchor moveWithCells="1">
                  <from>
                    <xdr:col>3</xdr:col>
                    <xdr:colOff>1314450</xdr:colOff>
                    <xdr:row>1</xdr:row>
                    <xdr:rowOff>9525</xdr:rowOff>
                  </from>
                  <to>
                    <xdr:col>3</xdr:col>
                    <xdr:colOff>2647950</xdr:colOff>
                    <xdr:row>2</xdr:row>
                    <xdr:rowOff>85725</xdr:rowOff>
                  </to>
                </anchor>
              </controlPr>
            </control>
          </mc:Choice>
        </mc:AlternateContent>
        <mc:AlternateContent xmlns:mc="http://schemas.openxmlformats.org/markup-compatibility/2006">
          <mc:Choice Requires="x14">
            <control shapeId="2050" r:id="rId4" name="Check Box 2">
              <controlPr defaultSize="0" autoFill="0" autoLine="0" autoPict="0">
                <anchor moveWithCells="1">
                  <from>
                    <xdr:col>3</xdr:col>
                    <xdr:colOff>1323975</xdr:colOff>
                    <xdr:row>2</xdr:row>
                    <xdr:rowOff>47625</xdr:rowOff>
                  </from>
                  <to>
                    <xdr:col>4</xdr:col>
                    <xdr:colOff>133350</xdr:colOff>
                    <xdr:row>3</xdr:row>
                    <xdr:rowOff>133350</xdr:rowOff>
                  </to>
                </anchor>
              </controlPr>
            </control>
          </mc:Choice>
        </mc:AlternateContent>
      </controls>
    </mc:Choice>
  </mc:AlternateContent>
  <tableParts count="1">
    <tablePart r:id="rId5"/>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05356A-75DC-420C-A820-E4F25C0EE8C1}">
  <sheetPr codeName="Unique_List_Riyadh"/>
  <dimension ref="A1:C34"/>
  <sheetViews>
    <sheetView workbookViewId="0">
      <selection activeCell="C2" sqref="C2"/>
    </sheetView>
  </sheetViews>
  <sheetFormatPr defaultRowHeight="15" x14ac:dyDescent="0.25"/>
  <cols>
    <col min="1" max="1" width="10.5703125" bestFit="1" customWidth="1"/>
    <col min="2" max="2" width="40" bestFit="1" customWidth="1"/>
    <col min="3" max="3" width="81.140625" bestFit="1" customWidth="1"/>
  </cols>
  <sheetData>
    <row r="1" spans="1:3" x14ac:dyDescent="0.25">
      <c r="A1" t="s">
        <v>1</v>
      </c>
      <c r="B1" t="s">
        <v>2</v>
      </c>
      <c r="C1" t="s">
        <v>180</v>
      </c>
    </row>
    <row r="2" spans="1:3" x14ac:dyDescent="0.25">
      <c r="A2">
        <v>1000993</v>
      </c>
      <c r="B2" t="s">
        <v>521</v>
      </c>
      <c r="C2" s="3" t="s">
        <v>468</v>
      </c>
    </row>
    <row r="3" spans="1:3" x14ac:dyDescent="0.25">
      <c r="A3">
        <v>1001698</v>
      </c>
      <c r="B3" t="s">
        <v>211</v>
      </c>
      <c r="C3" s="3" t="s">
        <v>469</v>
      </c>
    </row>
    <row r="4" spans="1:3" ht="30" x14ac:dyDescent="0.25">
      <c r="A4">
        <v>1001868</v>
      </c>
      <c r="B4" t="s">
        <v>248</v>
      </c>
      <c r="C4" s="3" t="s">
        <v>470</v>
      </c>
    </row>
    <row r="5" spans="1:3" x14ac:dyDescent="0.25">
      <c r="A5">
        <v>1001949</v>
      </c>
      <c r="B5" t="s">
        <v>494</v>
      </c>
      <c r="C5" s="3" t="s">
        <v>502</v>
      </c>
    </row>
    <row r="6" spans="1:3" ht="30" x14ac:dyDescent="0.25">
      <c r="A6">
        <v>1002511</v>
      </c>
      <c r="B6" t="s">
        <v>428</v>
      </c>
      <c r="C6" s="3" t="s">
        <v>471</v>
      </c>
    </row>
    <row r="7" spans="1:3" ht="30" x14ac:dyDescent="0.25">
      <c r="A7">
        <v>1002775</v>
      </c>
      <c r="B7" t="s">
        <v>130</v>
      </c>
      <c r="C7" s="3" t="s">
        <v>472</v>
      </c>
    </row>
    <row r="8" spans="1:3" x14ac:dyDescent="0.25">
      <c r="A8">
        <v>1003488</v>
      </c>
      <c r="B8" t="s">
        <v>212</v>
      </c>
      <c r="C8" s="3" t="s">
        <v>473</v>
      </c>
    </row>
    <row r="9" spans="1:3" x14ac:dyDescent="0.25">
      <c r="A9">
        <v>1003836</v>
      </c>
      <c r="B9" t="s">
        <v>252</v>
      </c>
      <c r="C9" s="3" t="s">
        <v>474</v>
      </c>
    </row>
    <row r="10" spans="1:3" ht="30" x14ac:dyDescent="0.25">
      <c r="A10">
        <v>1005863</v>
      </c>
      <c r="B10" t="s">
        <v>525</v>
      </c>
      <c r="C10" s="3" t="s">
        <v>546</v>
      </c>
    </row>
    <row r="11" spans="1:3" x14ac:dyDescent="0.25">
      <c r="A11">
        <v>1006835</v>
      </c>
      <c r="B11" t="s">
        <v>91</v>
      </c>
      <c r="C11" s="3" t="s">
        <v>475</v>
      </c>
    </row>
    <row r="12" spans="1:3" ht="30" x14ac:dyDescent="0.25">
      <c r="A12">
        <v>1017497</v>
      </c>
      <c r="B12" t="s">
        <v>6</v>
      </c>
      <c r="C12" s="3" t="s">
        <v>476</v>
      </c>
    </row>
    <row r="13" spans="1:3" x14ac:dyDescent="0.25">
      <c r="A13">
        <v>1017594</v>
      </c>
      <c r="B13" t="s">
        <v>93</v>
      </c>
      <c r="C13" s="3" t="s">
        <v>477</v>
      </c>
    </row>
    <row r="14" spans="1:3" x14ac:dyDescent="0.25">
      <c r="A14">
        <v>1033522</v>
      </c>
      <c r="B14" t="s">
        <v>16</v>
      </c>
      <c r="C14" s="3" t="s">
        <v>478</v>
      </c>
    </row>
    <row r="15" spans="1:3" x14ac:dyDescent="0.25">
      <c r="A15">
        <v>1066609</v>
      </c>
      <c r="B15" t="s">
        <v>433</v>
      </c>
      <c r="C15" s="3" t="s">
        <v>479</v>
      </c>
    </row>
    <row r="16" spans="1:3" x14ac:dyDescent="0.25">
      <c r="A16">
        <v>1084275</v>
      </c>
      <c r="B16" t="s">
        <v>259</v>
      </c>
      <c r="C16" s="3" t="s">
        <v>480</v>
      </c>
    </row>
    <row r="17" spans="1:3" x14ac:dyDescent="0.25">
      <c r="A17">
        <v>1088646</v>
      </c>
      <c r="B17" t="s">
        <v>497</v>
      </c>
      <c r="C17" s="3" t="s">
        <v>503</v>
      </c>
    </row>
    <row r="18" spans="1:3" x14ac:dyDescent="0.25">
      <c r="A18">
        <v>1088704</v>
      </c>
      <c r="B18" t="s">
        <v>261</v>
      </c>
      <c r="C18" s="3" t="s">
        <v>481</v>
      </c>
    </row>
    <row r="19" spans="1:3" x14ac:dyDescent="0.25">
      <c r="A19">
        <v>1088818</v>
      </c>
      <c r="B19" t="s">
        <v>78</v>
      </c>
      <c r="C19" s="3" t="s">
        <v>482</v>
      </c>
    </row>
    <row r="20" spans="1:3" x14ac:dyDescent="0.25">
      <c r="A20">
        <v>1089515</v>
      </c>
      <c r="B20" t="s">
        <v>263</v>
      </c>
      <c r="C20" s="3" t="s">
        <v>483</v>
      </c>
    </row>
    <row r="21" spans="1:3" ht="30" x14ac:dyDescent="0.25">
      <c r="A21">
        <v>2000121</v>
      </c>
      <c r="B21" t="s">
        <v>214</v>
      </c>
      <c r="C21" s="3" t="s">
        <v>484</v>
      </c>
    </row>
    <row r="22" spans="1:3" x14ac:dyDescent="0.25">
      <c r="A22">
        <v>2001398</v>
      </c>
      <c r="B22" t="s">
        <v>277</v>
      </c>
      <c r="C22" s="3" t="s">
        <v>485</v>
      </c>
    </row>
    <row r="23" spans="1:3" x14ac:dyDescent="0.25">
      <c r="A23">
        <v>2002452</v>
      </c>
      <c r="B23" t="s">
        <v>530</v>
      </c>
      <c r="C23" s="3" t="s">
        <v>547</v>
      </c>
    </row>
    <row r="24" spans="1:3" ht="30" x14ac:dyDescent="0.25">
      <c r="A24">
        <v>2002545</v>
      </c>
      <c r="B24" t="s">
        <v>280</v>
      </c>
      <c r="C24" s="3" t="s">
        <v>486</v>
      </c>
    </row>
    <row r="25" spans="1:3" x14ac:dyDescent="0.25">
      <c r="A25">
        <v>2003794</v>
      </c>
      <c r="B25" t="s">
        <v>567</v>
      </c>
      <c r="C25" s="3" t="s">
        <v>574</v>
      </c>
    </row>
    <row r="26" spans="1:3" x14ac:dyDescent="0.25">
      <c r="A26">
        <v>2003973</v>
      </c>
      <c r="B26" t="s">
        <v>532</v>
      </c>
      <c r="C26" s="3" t="s">
        <v>487</v>
      </c>
    </row>
    <row r="27" spans="1:3" x14ac:dyDescent="0.25">
      <c r="A27">
        <v>2004792</v>
      </c>
      <c r="B27" t="s">
        <v>215</v>
      </c>
      <c r="C27" s="3" t="s">
        <v>488</v>
      </c>
    </row>
    <row r="28" spans="1:3" x14ac:dyDescent="0.25">
      <c r="A28">
        <v>2007283</v>
      </c>
      <c r="B28" t="s">
        <v>108</v>
      </c>
      <c r="C28" s="3" t="s">
        <v>489</v>
      </c>
    </row>
    <row r="29" spans="1:3" x14ac:dyDescent="0.25">
      <c r="A29">
        <v>2009048</v>
      </c>
      <c r="B29" t="s">
        <v>443</v>
      </c>
      <c r="C29" s="3" t="s">
        <v>490</v>
      </c>
    </row>
    <row r="30" spans="1:3" ht="45" x14ac:dyDescent="0.25">
      <c r="A30">
        <v>2009231</v>
      </c>
      <c r="B30" t="s">
        <v>500</v>
      </c>
      <c r="C30" s="3" t="s">
        <v>504</v>
      </c>
    </row>
    <row r="31" spans="1:3" x14ac:dyDescent="0.25">
      <c r="A31">
        <v>2010705</v>
      </c>
      <c r="B31" t="s">
        <v>535</v>
      </c>
      <c r="C31" s="3" t="s">
        <v>548</v>
      </c>
    </row>
    <row r="32" spans="1:3" x14ac:dyDescent="0.25">
      <c r="A32">
        <v>2015159</v>
      </c>
      <c r="B32" t="s">
        <v>41</v>
      </c>
      <c r="C32" s="3" t="s">
        <v>505</v>
      </c>
    </row>
    <row r="33" spans="1:3" x14ac:dyDescent="0.25">
      <c r="A33">
        <v>2018359</v>
      </c>
      <c r="B33" t="s">
        <v>445</v>
      </c>
      <c r="C33" s="3" t="s">
        <v>491</v>
      </c>
    </row>
    <row r="34" spans="1:3" x14ac:dyDescent="0.25">
      <c r="A34">
        <v>2019013</v>
      </c>
      <c r="B34" t="s">
        <v>218</v>
      </c>
      <c r="C34" s="3" t="s">
        <v>492</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8A859-4F26-49DC-BDA4-731F9570126F}">
  <sheetPr codeName="No_Email_Riyadh"/>
  <dimension ref="A1:C6"/>
  <sheetViews>
    <sheetView workbookViewId="0">
      <selection activeCell="F24" sqref="F24"/>
    </sheetView>
  </sheetViews>
  <sheetFormatPr defaultRowHeight="15" x14ac:dyDescent="0.25"/>
  <cols>
    <col min="1" max="1" width="10.5703125" bestFit="1" customWidth="1"/>
    <col min="2" max="2" width="39.140625" bestFit="1" customWidth="1"/>
    <col min="3" max="3" width="11.85546875" bestFit="1" customWidth="1"/>
  </cols>
  <sheetData>
    <row r="1" spans="1:3" x14ac:dyDescent="0.25">
      <c r="A1" t="s">
        <v>1</v>
      </c>
      <c r="B1" t="s">
        <v>2</v>
      </c>
      <c r="C1" t="s">
        <v>180</v>
      </c>
    </row>
    <row r="2" spans="1:3" x14ac:dyDescent="0.25">
      <c r="A2">
        <v>1088833</v>
      </c>
      <c r="B2" t="s">
        <v>213</v>
      </c>
    </row>
    <row r="3" spans="1:3" x14ac:dyDescent="0.25">
      <c r="A3">
        <v>2003103</v>
      </c>
      <c r="B3" t="s">
        <v>282</v>
      </c>
    </row>
    <row r="4" spans="1:3" x14ac:dyDescent="0.25">
      <c r="A4">
        <v>2006641</v>
      </c>
      <c r="B4" t="s">
        <v>136</v>
      </c>
    </row>
    <row r="5" spans="1:3" x14ac:dyDescent="0.25">
      <c r="A5">
        <v>2017412</v>
      </c>
      <c r="B5" t="s">
        <v>217</v>
      </c>
    </row>
    <row r="6" spans="1:3" x14ac:dyDescent="0.25">
      <c r="A6">
        <v>2022274</v>
      </c>
      <c r="B6" t="s">
        <v>290</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29C6CC-4940-4779-8041-323D6A26C44A}">
  <sheetPr codeName="All_Data"/>
  <dimension ref="A1:I120"/>
  <sheetViews>
    <sheetView showGridLines="0" workbookViewId="0">
      <selection activeCell="C165" sqref="C165"/>
    </sheetView>
  </sheetViews>
  <sheetFormatPr defaultRowHeight="15" x14ac:dyDescent="0.25"/>
  <cols>
    <col min="1" max="1" width="10.5703125" bestFit="1" customWidth="1"/>
    <col min="2" max="2" width="14" bestFit="1" customWidth="1"/>
    <col min="3" max="3" width="16.42578125" bestFit="1" customWidth="1"/>
    <col min="4" max="4" width="41.42578125" bestFit="1" customWidth="1"/>
    <col min="5" max="5" width="7.28515625" bestFit="1" customWidth="1"/>
    <col min="6" max="6" width="16.42578125" bestFit="1" customWidth="1"/>
    <col min="7" max="7" width="21.7109375" bestFit="1" customWidth="1"/>
    <col min="8" max="8" width="9.28515625" customWidth="1"/>
    <col min="9" max="9" width="81.140625" bestFit="1" customWidth="1"/>
  </cols>
  <sheetData>
    <row r="1" spans="1:9" ht="15.75" thickBot="1" x14ac:dyDescent="0.3"/>
    <row r="2" spans="1:9" ht="15.75" thickBot="1" x14ac:dyDescent="0.3">
      <c r="B2" s="7" t="s">
        <v>210</v>
      </c>
      <c r="C2" s="6">
        <v>1136461</v>
      </c>
      <c r="F2" s="7" t="s">
        <v>209</v>
      </c>
      <c r="G2" s="6"/>
    </row>
    <row r="3" spans="1:9" ht="15.75" thickTop="1" x14ac:dyDescent="0.25"/>
    <row r="4" spans="1:9" x14ac:dyDescent="0.25">
      <c r="A4" t="s">
        <v>1</v>
      </c>
      <c r="B4" t="s">
        <v>193</v>
      </c>
      <c r="C4" t="s">
        <v>0</v>
      </c>
      <c r="D4" t="s">
        <v>2</v>
      </c>
      <c r="E4" t="s">
        <v>3</v>
      </c>
      <c r="F4" t="s">
        <v>4</v>
      </c>
      <c r="G4" t="s">
        <v>5</v>
      </c>
      <c r="H4" t="s">
        <v>141</v>
      </c>
      <c r="I4" t="s">
        <v>180</v>
      </c>
    </row>
    <row r="5" spans="1:9" hidden="1" x14ac:dyDescent="0.25">
      <c r="A5">
        <v>1069802</v>
      </c>
      <c r="B5" t="s">
        <v>336</v>
      </c>
      <c r="C5" t="s">
        <v>291</v>
      </c>
      <c r="D5" t="s">
        <v>168</v>
      </c>
      <c r="E5" t="s">
        <v>7</v>
      </c>
      <c r="F5">
        <v>330395</v>
      </c>
      <c r="G5" s="1">
        <v>45285</v>
      </c>
      <c r="H5">
        <v>22</v>
      </c>
    </row>
    <row r="6" spans="1:9" x14ac:dyDescent="0.25">
      <c r="A6">
        <v>1136461</v>
      </c>
      <c r="B6" t="s">
        <v>506</v>
      </c>
      <c r="C6" t="s">
        <v>507</v>
      </c>
      <c r="D6" t="s">
        <v>293</v>
      </c>
      <c r="E6" t="s">
        <v>21</v>
      </c>
      <c r="F6">
        <v>368368</v>
      </c>
      <c r="G6" s="1">
        <v>45299</v>
      </c>
      <c r="H6">
        <v>8</v>
      </c>
    </row>
    <row r="7" spans="1:9" hidden="1" x14ac:dyDescent="0.25">
      <c r="A7">
        <v>1148044</v>
      </c>
      <c r="B7" t="s">
        <v>337</v>
      </c>
      <c r="C7" t="s">
        <v>297</v>
      </c>
      <c r="D7" t="s">
        <v>296</v>
      </c>
      <c r="E7" t="s">
        <v>21</v>
      </c>
      <c r="F7">
        <v>44721.2</v>
      </c>
      <c r="G7" s="1">
        <v>45292</v>
      </c>
      <c r="H7">
        <v>15</v>
      </c>
    </row>
    <row r="8" spans="1:9" hidden="1" x14ac:dyDescent="0.25">
      <c r="A8">
        <v>1168126</v>
      </c>
      <c r="B8" t="s">
        <v>338</v>
      </c>
      <c r="C8" t="s">
        <v>298</v>
      </c>
      <c r="D8" t="s">
        <v>299</v>
      </c>
      <c r="E8" t="s">
        <v>21</v>
      </c>
      <c r="F8">
        <v>60500</v>
      </c>
      <c r="G8" s="1">
        <v>45294</v>
      </c>
      <c r="H8">
        <v>13</v>
      </c>
    </row>
    <row r="9" spans="1:9" hidden="1" x14ac:dyDescent="0.25">
      <c r="A9">
        <v>2002234</v>
      </c>
      <c r="B9" t="s">
        <v>549</v>
      </c>
      <c r="C9" t="s">
        <v>536</v>
      </c>
      <c r="D9" t="s">
        <v>537</v>
      </c>
      <c r="E9" t="s">
        <v>7</v>
      </c>
      <c r="F9">
        <v>100000</v>
      </c>
      <c r="G9" s="1">
        <v>45301</v>
      </c>
      <c r="H9">
        <v>6</v>
      </c>
    </row>
    <row r="10" spans="1:9" hidden="1" x14ac:dyDescent="0.25">
      <c r="A10">
        <v>2004878</v>
      </c>
      <c r="B10" t="s">
        <v>339</v>
      </c>
      <c r="C10" t="s">
        <v>302</v>
      </c>
      <c r="D10" t="s">
        <v>163</v>
      </c>
      <c r="E10" t="s">
        <v>7</v>
      </c>
      <c r="F10">
        <v>184000</v>
      </c>
      <c r="G10" s="1">
        <v>45291</v>
      </c>
      <c r="H10">
        <v>16</v>
      </c>
      <c r="I10" t="s">
        <v>461</v>
      </c>
    </row>
    <row r="11" spans="1:9" hidden="1" x14ac:dyDescent="0.25">
      <c r="A11">
        <v>2005148</v>
      </c>
      <c r="B11" t="s">
        <v>340</v>
      </c>
      <c r="C11" t="s">
        <v>303</v>
      </c>
      <c r="D11" t="s">
        <v>304</v>
      </c>
      <c r="E11" t="s">
        <v>7</v>
      </c>
      <c r="F11">
        <v>1000000</v>
      </c>
      <c r="G11" s="1">
        <v>45281</v>
      </c>
      <c r="H11">
        <v>26</v>
      </c>
    </row>
    <row r="12" spans="1:9" hidden="1" x14ac:dyDescent="0.25">
      <c r="A12">
        <v>2005526</v>
      </c>
      <c r="B12" t="s">
        <v>341</v>
      </c>
      <c r="C12" t="s">
        <v>307</v>
      </c>
      <c r="D12" t="s">
        <v>306</v>
      </c>
      <c r="E12" t="s">
        <v>21</v>
      </c>
      <c r="F12">
        <v>152854.56</v>
      </c>
      <c r="G12" s="1">
        <v>45281</v>
      </c>
      <c r="H12">
        <v>26</v>
      </c>
      <c r="I12" t="s">
        <v>462</v>
      </c>
    </row>
    <row r="13" spans="1:9" hidden="1" x14ac:dyDescent="0.25">
      <c r="A13">
        <v>2005526</v>
      </c>
      <c r="B13" t="s">
        <v>341</v>
      </c>
      <c r="C13" t="s">
        <v>305</v>
      </c>
      <c r="D13" t="s">
        <v>306</v>
      </c>
      <c r="E13" t="s">
        <v>21</v>
      </c>
      <c r="F13">
        <v>532889.31000000006</v>
      </c>
      <c r="G13" s="1">
        <v>45281</v>
      </c>
      <c r="H13">
        <v>26</v>
      </c>
      <c r="I13" t="s">
        <v>462</v>
      </c>
    </row>
    <row r="14" spans="1:9" hidden="1" x14ac:dyDescent="0.25">
      <c r="A14">
        <v>2006559</v>
      </c>
      <c r="B14" t="s">
        <v>342</v>
      </c>
      <c r="C14" t="s">
        <v>308</v>
      </c>
      <c r="D14" t="s">
        <v>309</v>
      </c>
      <c r="E14" t="s">
        <v>7</v>
      </c>
      <c r="F14">
        <v>226372.08</v>
      </c>
      <c r="G14" s="1">
        <v>45292</v>
      </c>
      <c r="H14">
        <v>15</v>
      </c>
    </row>
    <row r="15" spans="1:9" hidden="1" x14ac:dyDescent="0.25">
      <c r="A15">
        <v>2006559</v>
      </c>
      <c r="B15" t="s">
        <v>575</v>
      </c>
      <c r="C15" t="s">
        <v>570</v>
      </c>
      <c r="D15" t="s">
        <v>538</v>
      </c>
      <c r="E15" t="s">
        <v>7</v>
      </c>
      <c r="F15">
        <v>1844680.5</v>
      </c>
      <c r="G15" s="1">
        <v>45302</v>
      </c>
      <c r="H15">
        <v>5</v>
      </c>
    </row>
    <row r="16" spans="1:9" hidden="1" x14ac:dyDescent="0.25">
      <c r="A16">
        <v>2018648</v>
      </c>
      <c r="B16" t="s">
        <v>195</v>
      </c>
      <c r="C16" t="s">
        <v>311</v>
      </c>
      <c r="D16" t="s">
        <v>150</v>
      </c>
      <c r="E16" t="s">
        <v>7</v>
      </c>
      <c r="F16">
        <v>611361.52</v>
      </c>
      <c r="G16" s="1">
        <v>45280</v>
      </c>
      <c r="H16">
        <v>27</v>
      </c>
    </row>
    <row r="17" spans="1:9" hidden="1" x14ac:dyDescent="0.25">
      <c r="A17">
        <v>2018648</v>
      </c>
      <c r="B17" t="s">
        <v>194</v>
      </c>
      <c r="C17" t="s">
        <v>149</v>
      </c>
      <c r="D17" t="s">
        <v>150</v>
      </c>
      <c r="E17" t="s">
        <v>7</v>
      </c>
      <c r="F17">
        <v>497808.17</v>
      </c>
      <c r="G17" s="1">
        <v>45272</v>
      </c>
      <c r="H17">
        <v>35</v>
      </c>
    </row>
    <row r="18" spans="1:9" hidden="1" x14ac:dyDescent="0.25">
      <c r="A18">
        <v>2018648</v>
      </c>
      <c r="B18" t="s">
        <v>343</v>
      </c>
      <c r="C18" t="s">
        <v>310</v>
      </c>
      <c r="D18" t="s">
        <v>150</v>
      </c>
      <c r="E18" t="s">
        <v>7</v>
      </c>
      <c r="F18">
        <v>3400000</v>
      </c>
      <c r="G18" s="1">
        <v>45293</v>
      </c>
      <c r="H18">
        <v>14</v>
      </c>
    </row>
    <row r="19" spans="1:9" hidden="1" x14ac:dyDescent="0.25">
      <c r="A19">
        <v>2018779</v>
      </c>
      <c r="B19" t="s">
        <v>344</v>
      </c>
      <c r="C19" t="s">
        <v>312</v>
      </c>
      <c r="D19" t="s">
        <v>153</v>
      </c>
      <c r="E19" t="s">
        <v>7</v>
      </c>
      <c r="F19">
        <v>231150</v>
      </c>
      <c r="G19" s="1">
        <v>45285</v>
      </c>
      <c r="H19">
        <v>22</v>
      </c>
    </row>
    <row r="20" spans="1:9" hidden="1" x14ac:dyDescent="0.25">
      <c r="A20">
        <v>2019099</v>
      </c>
      <c r="B20" t="s">
        <v>345</v>
      </c>
      <c r="C20" t="s">
        <v>313</v>
      </c>
      <c r="D20" t="s">
        <v>346</v>
      </c>
      <c r="E20" t="s">
        <v>10</v>
      </c>
      <c r="F20">
        <v>152905.79</v>
      </c>
      <c r="G20" s="1">
        <v>45298</v>
      </c>
      <c r="H20">
        <v>9</v>
      </c>
    </row>
    <row r="21" spans="1:9" hidden="1" x14ac:dyDescent="0.25">
      <c r="A21">
        <v>2019099</v>
      </c>
      <c r="B21" t="s">
        <v>196</v>
      </c>
      <c r="C21" t="s">
        <v>154</v>
      </c>
      <c r="D21" t="s">
        <v>155</v>
      </c>
      <c r="E21" t="s">
        <v>21</v>
      </c>
      <c r="F21">
        <v>337361.9</v>
      </c>
      <c r="G21" s="1">
        <v>45270</v>
      </c>
      <c r="H21">
        <v>37</v>
      </c>
    </row>
    <row r="22" spans="1:9" hidden="1" x14ac:dyDescent="0.25">
      <c r="A22">
        <v>2019099</v>
      </c>
      <c r="B22" t="s">
        <v>196</v>
      </c>
      <c r="C22" t="s">
        <v>159</v>
      </c>
      <c r="D22" t="s">
        <v>155</v>
      </c>
      <c r="E22" t="s">
        <v>21</v>
      </c>
      <c r="F22">
        <v>17463.560000000001</v>
      </c>
      <c r="G22" s="1">
        <v>45270</v>
      </c>
      <c r="H22">
        <v>37</v>
      </c>
    </row>
    <row r="23" spans="1:9" hidden="1" x14ac:dyDescent="0.25">
      <c r="A23">
        <v>2019099</v>
      </c>
      <c r="B23" t="s">
        <v>197</v>
      </c>
      <c r="C23" t="s">
        <v>158</v>
      </c>
      <c r="D23" t="s">
        <v>157</v>
      </c>
      <c r="E23" t="s">
        <v>21</v>
      </c>
      <c r="F23">
        <v>1295.3599999999999</v>
      </c>
      <c r="G23" s="1">
        <v>45271</v>
      </c>
      <c r="H23">
        <v>36</v>
      </c>
    </row>
    <row r="24" spans="1:9" hidden="1" x14ac:dyDescent="0.25">
      <c r="A24">
        <v>2019099</v>
      </c>
      <c r="B24" t="s">
        <v>197</v>
      </c>
      <c r="C24" t="s">
        <v>156</v>
      </c>
      <c r="D24" t="s">
        <v>157</v>
      </c>
      <c r="E24" t="s">
        <v>21</v>
      </c>
      <c r="F24">
        <v>41886.559999999998</v>
      </c>
      <c r="G24" s="1">
        <v>45271</v>
      </c>
      <c r="H24">
        <v>36</v>
      </c>
    </row>
    <row r="25" spans="1:9" hidden="1" x14ac:dyDescent="0.25">
      <c r="A25">
        <v>1092871</v>
      </c>
      <c r="B25" t="s">
        <v>347</v>
      </c>
      <c r="C25" t="s">
        <v>316</v>
      </c>
      <c r="D25" t="s">
        <v>317</v>
      </c>
      <c r="E25" t="s">
        <v>21</v>
      </c>
      <c r="F25">
        <v>120015</v>
      </c>
      <c r="G25" s="1">
        <v>45293</v>
      </c>
      <c r="H25">
        <v>14</v>
      </c>
      <c r="I25" t="s">
        <v>463</v>
      </c>
    </row>
    <row r="26" spans="1:9" hidden="1" x14ac:dyDescent="0.25">
      <c r="A26">
        <v>1099841</v>
      </c>
      <c r="B26" t="s">
        <v>446</v>
      </c>
      <c r="C26" t="s">
        <v>447</v>
      </c>
      <c r="D26" t="s">
        <v>448</v>
      </c>
      <c r="E26" t="s">
        <v>7</v>
      </c>
      <c r="F26">
        <v>1192780</v>
      </c>
      <c r="G26" s="1">
        <v>45298</v>
      </c>
      <c r="H26">
        <v>9</v>
      </c>
      <c r="I26" t="s">
        <v>464</v>
      </c>
    </row>
    <row r="27" spans="1:9" hidden="1" x14ac:dyDescent="0.25">
      <c r="A27">
        <v>1100475</v>
      </c>
      <c r="B27" t="s">
        <v>348</v>
      </c>
      <c r="C27" t="s">
        <v>319</v>
      </c>
      <c r="D27" t="s">
        <v>320</v>
      </c>
      <c r="E27" t="s">
        <v>7</v>
      </c>
      <c r="F27">
        <v>2715016.08</v>
      </c>
      <c r="G27" s="1">
        <v>45294</v>
      </c>
      <c r="H27">
        <v>13</v>
      </c>
    </row>
    <row r="28" spans="1:9" hidden="1" x14ac:dyDescent="0.25">
      <c r="A28">
        <v>1102346</v>
      </c>
      <c r="B28" t="s">
        <v>349</v>
      </c>
      <c r="C28" t="s">
        <v>322</v>
      </c>
      <c r="D28" t="s">
        <v>323</v>
      </c>
      <c r="E28" t="s">
        <v>21</v>
      </c>
      <c r="F28">
        <v>1626292.35</v>
      </c>
      <c r="G28" s="1">
        <v>45286</v>
      </c>
      <c r="H28">
        <v>21</v>
      </c>
    </row>
    <row r="29" spans="1:9" hidden="1" x14ac:dyDescent="0.25">
      <c r="A29">
        <v>1117912</v>
      </c>
      <c r="B29" t="s">
        <v>351</v>
      </c>
      <c r="C29" t="s">
        <v>327</v>
      </c>
      <c r="D29" t="s">
        <v>326</v>
      </c>
      <c r="E29" t="s">
        <v>7</v>
      </c>
      <c r="F29">
        <v>627563</v>
      </c>
      <c r="G29" s="1">
        <v>45284</v>
      </c>
      <c r="H29">
        <v>23</v>
      </c>
    </row>
    <row r="30" spans="1:9" hidden="1" x14ac:dyDescent="0.25">
      <c r="A30">
        <v>1117912</v>
      </c>
      <c r="B30" t="s">
        <v>350</v>
      </c>
      <c r="C30" t="s">
        <v>325</v>
      </c>
      <c r="D30" t="s">
        <v>326</v>
      </c>
      <c r="E30" t="s">
        <v>7</v>
      </c>
      <c r="F30">
        <v>400000</v>
      </c>
      <c r="G30" s="1">
        <v>45285</v>
      </c>
      <c r="H30">
        <v>22</v>
      </c>
    </row>
    <row r="31" spans="1:9" hidden="1" x14ac:dyDescent="0.25">
      <c r="A31">
        <v>1119257</v>
      </c>
      <c r="B31" t="s">
        <v>576</v>
      </c>
      <c r="C31" t="s">
        <v>572</v>
      </c>
      <c r="D31" t="s">
        <v>573</v>
      </c>
      <c r="E31" t="s">
        <v>7</v>
      </c>
      <c r="F31">
        <v>1311494.27</v>
      </c>
      <c r="G31" s="1">
        <v>45301</v>
      </c>
      <c r="H31">
        <v>6</v>
      </c>
    </row>
    <row r="32" spans="1:9" hidden="1" x14ac:dyDescent="0.25">
      <c r="A32">
        <v>2000584</v>
      </c>
      <c r="B32" t="s">
        <v>352</v>
      </c>
      <c r="C32" t="s">
        <v>329</v>
      </c>
      <c r="D32" t="s">
        <v>144</v>
      </c>
      <c r="E32" t="s">
        <v>21</v>
      </c>
      <c r="F32">
        <v>65176.28</v>
      </c>
      <c r="G32" s="1">
        <v>45284</v>
      </c>
      <c r="H32">
        <v>23</v>
      </c>
      <c r="I32" t="s">
        <v>465</v>
      </c>
    </row>
    <row r="33" spans="1:9" hidden="1" x14ac:dyDescent="0.25">
      <c r="A33">
        <v>2000584</v>
      </c>
      <c r="B33" t="s">
        <v>353</v>
      </c>
      <c r="C33" t="s">
        <v>328</v>
      </c>
      <c r="D33" t="s">
        <v>145</v>
      </c>
      <c r="E33" t="s">
        <v>21</v>
      </c>
      <c r="F33">
        <v>2356292.86</v>
      </c>
      <c r="G33" s="1">
        <v>45284</v>
      </c>
      <c r="H33">
        <v>23</v>
      </c>
      <c r="I33" t="s">
        <v>465</v>
      </c>
    </row>
    <row r="34" spans="1:9" hidden="1" x14ac:dyDescent="0.25">
      <c r="A34">
        <v>2002608</v>
      </c>
      <c r="B34" t="s">
        <v>354</v>
      </c>
      <c r="C34" t="s">
        <v>331</v>
      </c>
      <c r="D34" t="s">
        <v>332</v>
      </c>
      <c r="E34" t="s">
        <v>7</v>
      </c>
      <c r="F34">
        <v>133804.76999999999</v>
      </c>
      <c r="G34" s="1">
        <v>45285</v>
      </c>
      <c r="H34">
        <v>22</v>
      </c>
      <c r="I34" t="s">
        <v>466</v>
      </c>
    </row>
    <row r="35" spans="1:9" hidden="1" x14ac:dyDescent="0.25">
      <c r="A35">
        <v>2004087</v>
      </c>
      <c r="B35" t="s">
        <v>355</v>
      </c>
      <c r="C35" t="s">
        <v>333</v>
      </c>
      <c r="D35" t="s">
        <v>334</v>
      </c>
      <c r="E35" t="s">
        <v>7</v>
      </c>
      <c r="F35">
        <v>341550</v>
      </c>
      <c r="G35" s="1">
        <v>45281</v>
      </c>
      <c r="H35">
        <v>26</v>
      </c>
    </row>
    <row r="36" spans="1:9" hidden="1" x14ac:dyDescent="0.25">
      <c r="A36">
        <v>2004087</v>
      </c>
      <c r="B36" t="s">
        <v>198</v>
      </c>
      <c r="C36" t="s">
        <v>146</v>
      </c>
      <c r="D36" t="s">
        <v>147</v>
      </c>
      <c r="E36" t="s">
        <v>7</v>
      </c>
      <c r="F36">
        <v>100686.85</v>
      </c>
      <c r="G36" s="1">
        <v>45272</v>
      </c>
      <c r="H36">
        <v>35</v>
      </c>
    </row>
    <row r="37" spans="1:9" hidden="1" x14ac:dyDescent="0.25">
      <c r="A37">
        <v>2014072</v>
      </c>
      <c r="B37" t="s">
        <v>508</v>
      </c>
      <c r="C37" t="s">
        <v>509</v>
      </c>
      <c r="D37" t="s">
        <v>510</v>
      </c>
      <c r="E37" t="s">
        <v>7</v>
      </c>
      <c r="F37">
        <v>318707</v>
      </c>
      <c r="G37" s="1">
        <v>45299</v>
      </c>
      <c r="H37">
        <v>8</v>
      </c>
      <c r="I37" t="s">
        <v>511</v>
      </c>
    </row>
    <row r="38" spans="1:9" hidden="1" x14ac:dyDescent="0.25">
      <c r="A38">
        <v>2014629</v>
      </c>
      <c r="B38" t="s">
        <v>356</v>
      </c>
      <c r="C38" t="s">
        <v>335</v>
      </c>
      <c r="D38" t="s">
        <v>148</v>
      </c>
      <c r="E38" t="s">
        <v>21</v>
      </c>
      <c r="F38">
        <v>40950.370000000003</v>
      </c>
      <c r="G38" s="1">
        <v>45295</v>
      </c>
      <c r="H38">
        <v>12</v>
      </c>
      <c r="I38" t="s">
        <v>467</v>
      </c>
    </row>
    <row r="39" spans="1:9" hidden="1" x14ac:dyDescent="0.25">
      <c r="A39">
        <v>2018183</v>
      </c>
      <c r="B39" t="s">
        <v>550</v>
      </c>
      <c r="C39" t="s">
        <v>545</v>
      </c>
      <c r="D39" t="s">
        <v>540</v>
      </c>
      <c r="E39" t="s">
        <v>21</v>
      </c>
      <c r="F39">
        <v>18326.38</v>
      </c>
      <c r="G39" s="1">
        <v>45301</v>
      </c>
      <c r="H39">
        <v>6</v>
      </c>
    </row>
    <row r="40" spans="1:9" hidden="1" x14ac:dyDescent="0.25">
      <c r="A40">
        <v>2018183</v>
      </c>
      <c r="B40" t="s">
        <v>550</v>
      </c>
      <c r="C40" t="s">
        <v>543</v>
      </c>
      <c r="D40" t="s">
        <v>540</v>
      </c>
      <c r="E40" t="s">
        <v>21</v>
      </c>
      <c r="F40">
        <v>145702.51999999999</v>
      </c>
      <c r="G40" s="1">
        <v>45301</v>
      </c>
      <c r="H40">
        <v>6</v>
      </c>
    </row>
    <row r="41" spans="1:9" hidden="1" x14ac:dyDescent="0.25">
      <c r="A41">
        <v>2018183</v>
      </c>
      <c r="B41" t="s">
        <v>550</v>
      </c>
      <c r="C41" t="s">
        <v>539</v>
      </c>
      <c r="D41" t="s">
        <v>540</v>
      </c>
      <c r="E41" t="s">
        <v>21</v>
      </c>
      <c r="F41">
        <v>46680.95</v>
      </c>
      <c r="G41" s="1">
        <v>45301</v>
      </c>
      <c r="H41">
        <v>6</v>
      </c>
    </row>
    <row r="42" spans="1:9" hidden="1" x14ac:dyDescent="0.25">
      <c r="A42">
        <v>2018183</v>
      </c>
      <c r="B42" t="s">
        <v>550</v>
      </c>
      <c r="C42" t="s">
        <v>544</v>
      </c>
      <c r="D42" t="s">
        <v>540</v>
      </c>
      <c r="E42" t="s">
        <v>21</v>
      </c>
      <c r="F42">
        <v>1037995.2</v>
      </c>
      <c r="G42" s="1">
        <v>45301</v>
      </c>
      <c r="H42">
        <v>6</v>
      </c>
    </row>
    <row r="43" spans="1:9" hidden="1" x14ac:dyDescent="0.25">
      <c r="A43">
        <v>2018183</v>
      </c>
      <c r="B43" t="s">
        <v>550</v>
      </c>
      <c r="C43" t="s">
        <v>542</v>
      </c>
      <c r="D43" t="s">
        <v>540</v>
      </c>
      <c r="E43" t="s">
        <v>21</v>
      </c>
      <c r="F43">
        <v>1361470.39</v>
      </c>
      <c r="G43" s="1">
        <v>45301</v>
      </c>
      <c r="H43">
        <v>6</v>
      </c>
    </row>
    <row r="44" spans="1:9" hidden="1" x14ac:dyDescent="0.25">
      <c r="A44">
        <v>2018183</v>
      </c>
      <c r="B44" t="s">
        <v>550</v>
      </c>
      <c r="C44" t="s">
        <v>541</v>
      </c>
      <c r="D44" t="s">
        <v>540</v>
      </c>
      <c r="E44" t="s">
        <v>21</v>
      </c>
      <c r="F44">
        <v>274849.59999999998</v>
      </c>
      <c r="G44" s="1">
        <v>45301</v>
      </c>
      <c r="H44">
        <v>6</v>
      </c>
    </row>
    <row r="45" spans="1:9" hidden="1" x14ac:dyDescent="0.25">
      <c r="A45">
        <v>1000993</v>
      </c>
      <c r="B45" t="s">
        <v>551</v>
      </c>
      <c r="C45" t="s">
        <v>520</v>
      </c>
      <c r="D45" t="s">
        <v>552</v>
      </c>
      <c r="E45" t="s">
        <v>7</v>
      </c>
      <c r="F45">
        <v>281456.67</v>
      </c>
      <c r="G45" s="1">
        <v>45301</v>
      </c>
      <c r="H45">
        <v>6</v>
      </c>
      <c r="I45" t="s">
        <v>468</v>
      </c>
    </row>
    <row r="46" spans="1:9" hidden="1" x14ac:dyDescent="0.25">
      <c r="A46">
        <v>1000993</v>
      </c>
      <c r="B46" t="s">
        <v>357</v>
      </c>
      <c r="C46" t="s">
        <v>245</v>
      </c>
      <c r="D46" t="s">
        <v>109</v>
      </c>
      <c r="E46" t="s">
        <v>7</v>
      </c>
      <c r="F46">
        <v>100104.27</v>
      </c>
      <c r="G46" s="1">
        <v>45287</v>
      </c>
      <c r="H46">
        <v>20</v>
      </c>
      <c r="I46" t="s">
        <v>468</v>
      </c>
    </row>
    <row r="47" spans="1:9" hidden="1" x14ac:dyDescent="0.25">
      <c r="A47">
        <v>1001698</v>
      </c>
      <c r="B47" t="s">
        <v>358</v>
      </c>
      <c r="C47" t="s">
        <v>246</v>
      </c>
      <c r="D47" t="s">
        <v>359</v>
      </c>
      <c r="E47" t="s">
        <v>7</v>
      </c>
      <c r="F47">
        <v>80322</v>
      </c>
      <c r="G47" s="1">
        <v>45284</v>
      </c>
      <c r="H47">
        <v>23</v>
      </c>
      <c r="I47" t="s">
        <v>469</v>
      </c>
    </row>
    <row r="48" spans="1:9" hidden="1" x14ac:dyDescent="0.25">
      <c r="A48">
        <v>1001698</v>
      </c>
      <c r="B48" t="s">
        <v>435</v>
      </c>
      <c r="C48" t="s">
        <v>427</v>
      </c>
      <c r="D48" t="s">
        <v>359</v>
      </c>
      <c r="E48" t="s">
        <v>7</v>
      </c>
      <c r="F48">
        <v>360679.96</v>
      </c>
      <c r="G48" s="1">
        <v>45295</v>
      </c>
      <c r="H48">
        <v>12</v>
      </c>
      <c r="I48" t="s">
        <v>469</v>
      </c>
    </row>
    <row r="49" spans="1:9" hidden="1" x14ac:dyDescent="0.25">
      <c r="A49">
        <v>1001698</v>
      </c>
      <c r="B49" t="s">
        <v>199</v>
      </c>
      <c r="C49" t="s">
        <v>522</v>
      </c>
      <c r="D49" t="s">
        <v>129</v>
      </c>
      <c r="E49" t="s">
        <v>7</v>
      </c>
      <c r="F49">
        <v>387946.75</v>
      </c>
      <c r="G49" s="1">
        <v>45301</v>
      </c>
      <c r="H49">
        <v>6</v>
      </c>
      <c r="I49" t="s">
        <v>469</v>
      </c>
    </row>
    <row r="50" spans="1:9" hidden="1" x14ac:dyDescent="0.25">
      <c r="A50">
        <v>1001698</v>
      </c>
      <c r="B50" t="s">
        <v>199</v>
      </c>
      <c r="C50" t="s">
        <v>128</v>
      </c>
      <c r="D50" t="s">
        <v>129</v>
      </c>
      <c r="E50" t="s">
        <v>7</v>
      </c>
      <c r="F50">
        <v>284280</v>
      </c>
      <c r="G50" s="1">
        <v>45272</v>
      </c>
      <c r="H50">
        <v>35</v>
      </c>
      <c r="I50" t="s">
        <v>469</v>
      </c>
    </row>
    <row r="51" spans="1:9" hidden="1" x14ac:dyDescent="0.25">
      <c r="A51">
        <v>1001868</v>
      </c>
      <c r="B51" t="s">
        <v>360</v>
      </c>
      <c r="C51" t="s">
        <v>247</v>
      </c>
      <c r="D51" t="s">
        <v>361</v>
      </c>
      <c r="E51" t="s">
        <v>21</v>
      </c>
      <c r="F51">
        <v>94815.360000000001</v>
      </c>
      <c r="G51" s="1">
        <v>45291</v>
      </c>
      <c r="H51">
        <v>16</v>
      </c>
      <c r="I51" t="s">
        <v>470</v>
      </c>
    </row>
    <row r="52" spans="1:9" hidden="1" x14ac:dyDescent="0.25">
      <c r="A52">
        <v>1001949</v>
      </c>
      <c r="B52" t="s">
        <v>512</v>
      </c>
      <c r="C52" t="s">
        <v>493</v>
      </c>
      <c r="D52" t="s">
        <v>494</v>
      </c>
      <c r="E52" t="s">
        <v>10</v>
      </c>
      <c r="F52">
        <v>190435</v>
      </c>
      <c r="G52" s="1">
        <v>45300</v>
      </c>
      <c r="H52">
        <v>7</v>
      </c>
      <c r="I52" t="s">
        <v>502</v>
      </c>
    </row>
    <row r="53" spans="1:9" hidden="1" x14ac:dyDescent="0.25">
      <c r="A53">
        <v>1002511</v>
      </c>
      <c r="B53" t="s">
        <v>553</v>
      </c>
      <c r="C53" t="s">
        <v>523</v>
      </c>
      <c r="D53" t="s">
        <v>428</v>
      </c>
      <c r="E53" t="s">
        <v>21</v>
      </c>
      <c r="F53">
        <v>507550.8</v>
      </c>
      <c r="G53" s="1">
        <v>45301</v>
      </c>
      <c r="H53">
        <v>6</v>
      </c>
      <c r="I53" t="s">
        <v>471</v>
      </c>
    </row>
    <row r="54" spans="1:9" hidden="1" x14ac:dyDescent="0.25">
      <c r="A54">
        <v>1002775</v>
      </c>
      <c r="B54" t="s">
        <v>363</v>
      </c>
      <c r="C54" t="s">
        <v>250</v>
      </c>
      <c r="D54" t="s">
        <v>130</v>
      </c>
      <c r="E54" t="s">
        <v>7</v>
      </c>
      <c r="F54">
        <v>3954385.17</v>
      </c>
      <c r="G54" s="1">
        <v>45291</v>
      </c>
      <c r="H54">
        <v>16</v>
      </c>
      <c r="I54" t="s">
        <v>472</v>
      </c>
    </row>
    <row r="55" spans="1:9" hidden="1" x14ac:dyDescent="0.25">
      <c r="A55">
        <v>1002775</v>
      </c>
      <c r="B55" t="s">
        <v>362</v>
      </c>
      <c r="C55" t="s">
        <v>249</v>
      </c>
      <c r="D55" t="s">
        <v>130</v>
      </c>
      <c r="E55" t="s">
        <v>7</v>
      </c>
      <c r="F55">
        <v>285729.58</v>
      </c>
      <c r="G55" s="1">
        <v>45284</v>
      </c>
      <c r="H55">
        <v>23</v>
      </c>
      <c r="I55" t="s">
        <v>472</v>
      </c>
    </row>
    <row r="56" spans="1:9" hidden="1" x14ac:dyDescent="0.25">
      <c r="A56">
        <v>1003488</v>
      </c>
      <c r="B56" t="s">
        <v>364</v>
      </c>
      <c r="C56" t="s">
        <v>251</v>
      </c>
      <c r="D56" t="s">
        <v>116</v>
      </c>
      <c r="E56" t="s">
        <v>10</v>
      </c>
      <c r="F56">
        <v>38932.199999999997</v>
      </c>
      <c r="G56" s="1">
        <v>45292</v>
      </c>
      <c r="H56">
        <v>15</v>
      </c>
      <c r="I56" t="s">
        <v>473</v>
      </c>
    </row>
    <row r="57" spans="1:9" hidden="1" x14ac:dyDescent="0.25">
      <c r="A57">
        <v>1003836</v>
      </c>
      <c r="B57" t="s">
        <v>436</v>
      </c>
      <c r="C57" t="s">
        <v>429</v>
      </c>
      <c r="D57" t="s">
        <v>252</v>
      </c>
      <c r="E57" t="s">
        <v>7</v>
      </c>
      <c r="F57">
        <v>1326814.1200000001</v>
      </c>
      <c r="G57" s="1">
        <v>45295</v>
      </c>
      <c r="H57">
        <v>12</v>
      </c>
      <c r="I57" t="s">
        <v>474</v>
      </c>
    </row>
    <row r="58" spans="1:9" hidden="1" x14ac:dyDescent="0.25">
      <c r="A58">
        <v>1003836</v>
      </c>
      <c r="B58" t="s">
        <v>577</v>
      </c>
      <c r="C58" t="s">
        <v>564</v>
      </c>
      <c r="D58" t="s">
        <v>563</v>
      </c>
      <c r="E58" t="s">
        <v>104</v>
      </c>
      <c r="F58">
        <v>2804651.89</v>
      </c>
      <c r="G58" s="1">
        <v>45302</v>
      </c>
      <c r="H58">
        <v>5</v>
      </c>
      <c r="I58" t="s">
        <v>474</v>
      </c>
    </row>
    <row r="59" spans="1:9" hidden="1" x14ac:dyDescent="0.25">
      <c r="A59">
        <v>1003836</v>
      </c>
      <c r="B59" t="s">
        <v>577</v>
      </c>
      <c r="C59" t="s">
        <v>562</v>
      </c>
      <c r="D59" t="s">
        <v>563</v>
      </c>
      <c r="E59" t="s">
        <v>104</v>
      </c>
      <c r="F59">
        <v>329959.05</v>
      </c>
      <c r="G59" s="1">
        <v>45302</v>
      </c>
      <c r="H59">
        <v>5</v>
      </c>
      <c r="I59" t="s">
        <v>474</v>
      </c>
    </row>
    <row r="60" spans="1:9" hidden="1" x14ac:dyDescent="0.25">
      <c r="A60">
        <v>1005863</v>
      </c>
      <c r="B60" t="s">
        <v>554</v>
      </c>
      <c r="C60" t="s">
        <v>524</v>
      </c>
      <c r="D60" t="s">
        <v>525</v>
      </c>
      <c r="E60" t="s">
        <v>7</v>
      </c>
      <c r="F60">
        <v>997174.56</v>
      </c>
      <c r="G60" s="1">
        <v>45301</v>
      </c>
      <c r="H60">
        <v>6</v>
      </c>
      <c r="I60" t="s">
        <v>546</v>
      </c>
    </row>
    <row r="61" spans="1:9" hidden="1" x14ac:dyDescent="0.25">
      <c r="A61">
        <v>1006835</v>
      </c>
      <c r="B61" t="s">
        <v>367</v>
      </c>
      <c r="C61" t="s">
        <v>254</v>
      </c>
      <c r="D61" t="s">
        <v>91</v>
      </c>
      <c r="E61" t="s">
        <v>21</v>
      </c>
      <c r="F61">
        <v>60666</v>
      </c>
      <c r="G61" s="1">
        <v>45293</v>
      </c>
      <c r="H61">
        <v>14</v>
      </c>
      <c r="I61" t="s">
        <v>475</v>
      </c>
    </row>
    <row r="62" spans="1:9" hidden="1" x14ac:dyDescent="0.25">
      <c r="A62">
        <v>1006835</v>
      </c>
      <c r="B62" t="s">
        <v>513</v>
      </c>
      <c r="C62" t="s">
        <v>526</v>
      </c>
      <c r="D62" t="s">
        <v>366</v>
      </c>
      <c r="E62" t="s">
        <v>21</v>
      </c>
      <c r="F62">
        <v>403813.2</v>
      </c>
      <c r="G62" s="1">
        <v>45301</v>
      </c>
      <c r="H62">
        <v>6</v>
      </c>
      <c r="I62" t="s">
        <v>475</v>
      </c>
    </row>
    <row r="63" spans="1:9" hidden="1" x14ac:dyDescent="0.25">
      <c r="A63">
        <v>1006835</v>
      </c>
      <c r="B63" t="s">
        <v>513</v>
      </c>
      <c r="C63" t="s">
        <v>495</v>
      </c>
      <c r="D63" t="s">
        <v>366</v>
      </c>
      <c r="E63" t="s">
        <v>21</v>
      </c>
      <c r="F63">
        <v>12103.2</v>
      </c>
      <c r="G63" s="1">
        <v>45299</v>
      </c>
      <c r="H63">
        <v>8</v>
      </c>
      <c r="I63" t="s">
        <v>475</v>
      </c>
    </row>
    <row r="64" spans="1:9" hidden="1" x14ac:dyDescent="0.25">
      <c r="A64">
        <v>1006835</v>
      </c>
      <c r="B64" t="s">
        <v>365</v>
      </c>
      <c r="C64" t="s">
        <v>253</v>
      </c>
      <c r="D64" t="s">
        <v>366</v>
      </c>
      <c r="E64" t="s">
        <v>21</v>
      </c>
      <c r="F64">
        <v>54032.4</v>
      </c>
      <c r="G64" s="1">
        <v>45291</v>
      </c>
      <c r="H64">
        <v>16</v>
      </c>
      <c r="I64" t="s">
        <v>475</v>
      </c>
    </row>
    <row r="65" spans="1:9" hidden="1" x14ac:dyDescent="0.25">
      <c r="A65">
        <v>1017497</v>
      </c>
      <c r="B65" t="s">
        <v>437</v>
      </c>
      <c r="C65" t="s">
        <v>431</v>
      </c>
      <c r="D65" t="s">
        <v>6</v>
      </c>
      <c r="E65" t="s">
        <v>7</v>
      </c>
      <c r="F65">
        <v>250000</v>
      </c>
      <c r="G65" s="1">
        <v>45298</v>
      </c>
      <c r="H65">
        <v>9</v>
      </c>
      <c r="I65" t="s">
        <v>476</v>
      </c>
    </row>
    <row r="66" spans="1:9" hidden="1" x14ac:dyDescent="0.25">
      <c r="A66">
        <v>1017497</v>
      </c>
      <c r="B66" t="s">
        <v>368</v>
      </c>
      <c r="C66" t="s">
        <v>255</v>
      </c>
      <c r="D66" t="s">
        <v>6</v>
      </c>
      <c r="E66" t="s">
        <v>7</v>
      </c>
      <c r="F66">
        <v>150000</v>
      </c>
      <c r="G66" s="1">
        <v>45288</v>
      </c>
      <c r="H66">
        <v>19</v>
      </c>
      <c r="I66" t="s">
        <v>476</v>
      </c>
    </row>
    <row r="67" spans="1:9" hidden="1" x14ac:dyDescent="0.25">
      <c r="A67">
        <v>1017497</v>
      </c>
      <c r="B67" t="s">
        <v>437</v>
      </c>
      <c r="C67" t="s">
        <v>430</v>
      </c>
      <c r="D67" t="s">
        <v>6</v>
      </c>
      <c r="E67" t="s">
        <v>7</v>
      </c>
      <c r="F67">
        <v>500000</v>
      </c>
      <c r="G67" s="1">
        <v>45298</v>
      </c>
      <c r="H67">
        <v>9</v>
      </c>
      <c r="I67" t="s">
        <v>476</v>
      </c>
    </row>
    <row r="68" spans="1:9" hidden="1" x14ac:dyDescent="0.25">
      <c r="A68">
        <v>1017594</v>
      </c>
      <c r="B68" t="s">
        <v>200</v>
      </c>
      <c r="C68" t="s">
        <v>117</v>
      </c>
      <c r="D68" t="s">
        <v>93</v>
      </c>
      <c r="E68" t="s">
        <v>7</v>
      </c>
      <c r="F68">
        <v>314176.37</v>
      </c>
      <c r="G68" s="1">
        <v>45263</v>
      </c>
      <c r="H68">
        <v>44</v>
      </c>
      <c r="I68" t="s">
        <v>477</v>
      </c>
    </row>
    <row r="69" spans="1:9" hidden="1" x14ac:dyDescent="0.25">
      <c r="A69">
        <v>1017594</v>
      </c>
      <c r="B69" t="s">
        <v>438</v>
      </c>
      <c r="C69" t="s">
        <v>432</v>
      </c>
      <c r="D69" t="s">
        <v>93</v>
      </c>
      <c r="E69" t="s">
        <v>7</v>
      </c>
      <c r="F69">
        <v>250000</v>
      </c>
      <c r="G69" s="1">
        <v>45298</v>
      </c>
      <c r="H69">
        <v>9</v>
      </c>
      <c r="I69" t="s">
        <v>477</v>
      </c>
    </row>
    <row r="70" spans="1:9" hidden="1" x14ac:dyDescent="0.25">
      <c r="A70">
        <v>1017594</v>
      </c>
      <c r="B70" t="s">
        <v>200</v>
      </c>
      <c r="C70" t="s">
        <v>565</v>
      </c>
      <c r="D70" t="s">
        <v>93</v>
      </c>
      <c r="E70" t="s">
        <v>7</v>
      </c>
      <c r="F70">
        <v>125996.37</v>
      </c>
      <c r="G70" s="1">
        <v>45302</v>
      </c>
      <c r="H70">
        <v>5</v>
      </c>
      <c r="I70" t="s">
        <v>477</v>
      </c>
    </row>
    <row r="71" spans="1:9" hidden="1" x14ac:dyDescent="0.25">
      <c r="A71">
        <v>1033522</v>
      </c>
      <c r="B71" t="s">
        <v>369</v>
      </c>
      <c r="C71" t="s">
        <v>256</v>
      </c>
      <c r="D71" t="s">
        <v>257</v>
      </c>
      <c r="E71" t="s">
        <v>7</v>
      </c>
      <c r="F71">
        <v>284970</v>
      </c>
      <c r="G71" s="1">
        <v>45284</v>
      </c>
      <c r="H71">
        <v>23</v>
      </c>
      <c r="I71" t="s">
        <v>478</v>
      </c>
    </row>
    <row r="72" spans="1:9" hidden="1" x14ac:dyDescent="0.25">
      <c r="A72">
        <v>1033522</v>
      </c>
      <c r="B72" t="s">
        <v>201</v>
      </c>
      <c r="C72" t="s">
        <v>15</v>
      </c>
      <c r="D72" t="s">
        <v>16</v>
      </c>
      <c r="E72" t="s">
        <v>7</v>
      </c>
      <c r="F72">
        <v>160856.32000000001</v>
      </c>
      <c r="G72" s="1">
        <v>45272</v>
      </c>
      <c r="H72">
        <v>35</v>
      </c>
      <c r="I72" t="s">
        <v>478</v>
      </c>
    </row>
    <row r="73" spans="1:9" hidden="1" x14ac:dyDescent="0.25">
      <c r="A73">
        <v>1066609</v>
      </c>
      <c r="B73" t="s">
        <v>555</v>
      </c>
      <c r="C73" t="s">
        <v>527</v>
      </c>
      <c r="D73" t="s">
        <v>439</v>
      </c>
      <c r="E73" t="s">
        <v>7</v>
      </c>
      <c r="F73">
        <v>500000</v>
      </c>
      <c r="G73" s="1">
        <v>45301</v>
      </c>
      <c r="H73">
        <v>6</v>
      </c>
      <c r="I73" t="s">
        <v>479</v>
      </c>
    </row>
    <row r="74" spans="1:9" hidden="1" x14ac:dyDescent="0.25">
      <c r="A74">
        <v>1084275</v>
      </c>
      <c r="B74" t="s">
        <v>370</v>
      </c>
      <c r="C74" t="s">
        <v>258</v>
      </c>
      <c r="D74" t="s">
        <v>259</v>
      </c>
      <c r="E74" t="s">
        <v>7</v>
      </c>
      <c r="F74">
        <v>286530</v>
      </c>
      <c r="G74" s="1">
        <v>45280</v>
      </c>
      <c r="H74">
        <v>27</v>
      </c>
      <c r="I74" t="s">
        <v>480</v>
      </c>
    </row>
    <row r="75" spans="1:9" hidden="1" x14ac:dyDescent="0.25">
      <c r="A75">
        <v>1088646</v>
      </c>
      <c r="B75" t="s">
        <v>514</v>
      </c>
      <c r="C75" t="s">
        <v>496</v>
      </c>
      <c r="D75" t="s">
        <v>497</v>
      </c>
      <c r="E75" t="s">
        <v>21</v>
      </c>
      <c r="F75">
        <v>80567.61</v>
      </c>
      <c r="G75" s="1">
        <v>45300</v>
      </c>
      <c r="H75">
        <v>7</v>
      </c>
      <c r="I75" t="s">
        <v>503</v>
      </c>
    </row>
    <row r="76" spans="1:9" hidden="1" x14ac:dyDescent="0.25">
      <c r="A76">
        <v>1088704</v>
      </c>
      <c r="B76" t="s">
        <v>371</v>
      </c>
      <c r="C76" t="s">
        <v>528</v>
      </c>
      <c r="D76" t="s">
        <v>261</v>
      </c>
      <c r="E76" t="s">
        <v>21</v>
      </c>
      <c r="F76">
        <v>50038</v>
      </c>
      <c r="G76" s="1">
        <v>45301</v>
      </c>
      <c r="H76">
        <v>6</v>
      </c>
      <c r="I76" t="s">
        <v>481</v>
      </c>
    </row>
    <row r="77" spans="1:9" hidden="1" x14ac:dyDescent="0.25">
      <c r="A77">
        <v>1088704</v>
      </c>
      <c r="B77" t="s">
        <v>371</v>
      </c>
      <c r="C77" t="s">
        <v>260</v>
      </c>
      <c r="D77" t="s">
        <v>261</v>
      </c>
      <c r="E77" t="s">
        <v>21</v>
      </c>
      <c r="F77">
        <v>49644</v>
      </c>
      <c r="G77" s="1">
        <v>45280</v>
      </c>
      <c r="H77">
        <v>27</v>
      </c>
      <c r="I77" t="s">
        <v>481</v>
      </c>
    </row>
    <row r="78" spans="1:9" hidden="1" x14ac:dyDescent="0.25">
      <c r="A78">
        <v>1088818</v>
      </c>
      <c r="B78" t="s">
        <v>202</v>
      </c>
      <c r="C78" t="s">
        <v>77</v>
      </c>
      <c r="D78" t="s">
        <v>78</v>
      </c>
      <c r="E78" t="s">
        <v>10</v>
      </c>
      <c r="F78">
        <v>245000</v>
      </c>
      <c r="G78" s="1">
        <v>45264</v>
      </c>
      <c r="H78">
        <v>43</v>
      </c>
      <c r="I78" t="s">
        <v>482</v>
      </c>
    </row>
    <row r="79" spans="1:9" hidden="1" x14ac:dyDescent="0.25">
      <c r="A79">
        <v>1088833</v>
      </c>
      <c r="B79" t="s">
        <v>203</v>
      </c>
      <c r="C79" t="s">
        <v>120</v>
      </c>
      <c r="D79" t="s">
        <v>119</v>
      </c>
      <c r="E79" t="s">
        <v>7</v>
      </c>
      <c r="F79">
        <v>71617.77</v>
      </c>
      <c r="G79" s="1">
        <v>45257</v>
      </c>
      <c r="H79">
        <v>50</v>
      </c>
    </row>
    <row r="80" spans="1:9" hidden="1" x14ac:dyDescent="0.25">
      <c r="A80">
        <v>1088833</v>
      </c>
      <c r="B80" t="s">
        <v>203</v>
      </c>
      <c r="C80" t="s">
        <v>118</v>
      </c>
      <c r="D80" t="s">
        <v>119</v>
      </c>
      <c r="E80" t="s">
        <v>7</v>
      </c>
      <c r="F80">
        <v>149451</v>
      </c>
      <c r="G80" s="1">
        <v>45257</v>
      </c>
      <c r="H80">
        <v>50</v>
      </c>
    </row>
    <row r="81" spans="1:9" hidden="1" x14ac:dyDescent="0.25">
      <c r="A81">
        <v>1089515</v>
      </c>
      <c r="B81" t="s">
        <v>372</v>
      </c>
      <c r="C81" t="s">
        <v>262</v>
      </c>
      <c r="D81" t="s">
        <v>263</v>
      </c>
      <c r="E81" t="s">
        <v>7</v>
      </c>
      <c r="F81">
        <v>1000000</v>
      </c>
      <c r="G81" s="1">
        <v>45291</v>
      </c>
      <c r="H81">
        <v>16</v>
      </c>
      <c r="I81" t="s">
        <v>483</v>
      </c>
    </row>
    <row r="82" spans="1:9" hidden="1" x14ac:dyDescent="0.25">
      <c r="A82">
        <v>2000121</v>
      </c>
      <c r="B82" t="s">
        <v>381</v>
      </c>
      <c r="C82" t="s">
        <v>272</v>
      </c>
      <c r="D82" t="s">
        <v>121</v>
      </c>
      <c r="E82" t="s">
        <v>7</v>
      </c>
      <c r="F82">
        <v>3715426.47</v>
      </c>
      <c r="G82" s="1">
        <v>45284</v>
      </c>
      <c r="H82">
        <v>23</v>
      </c>
      <c r="I82" t="s">
        <v>484</v>
      </c>
    </row>
    <row r="83" spans="1:9" hidden="1" x14ac:dyDescent="0.25">
      <c r="A83">
        <v>2000121</v>
      </c>
      <c r="B83" t="s">
        <v>204</v>
      </c>
      <c r="C83" t="s">
        <v>271</v>
      </c>
      <c r="D83" t="s">
        <v>125</v>
      </c>
      <c r="E83" t="s">
        <v>7</v>
      </c>
      <c r="F83">
        <v>1346924.15</v>
      </c>
      <c r="G83" s="1">
        <v>45284</v>
      </c>
      <c r="H83">
        <v>23</v>
      </c>
      <c r="I83" t="s">
        <v>484</v>
      </c>
    </row>
    <row r="84" spans="1:9" hidden="1" x14ac:dyDescent="0.25">
      <c r="A84">
        <v>2000121</v>
      </c>
      <c r="B84" t="s">
        <v>381</v>
      </c>
      <c r="C84" t="s">
        <v>267</v>
      </c>
      <c r="D84" t="s">
        <v>121</v>
      </c>
      <c r="E84" t="s">
        <v>7</v>
      </c>
      <c r="F84">
        <v>127712.15</v>
      </c>
      <c r="G84" s="1">
        <v>45284</v>
      </c>
      <c r="H84">
        <v>23</v>
      </c>
      <c r="I84" t="s">
        <v>484</v>
      </c>
    </row>
    <row r="85" spans="1:9" hidden="1" x14ac:dyDescent="0.25">
      <c r="A85">
        <v>2000121</v>
      </c>
      <c r="B85" t="s">
        <v>382</v>
      </c>
      <c r="C85" t="s">
        <v>273</v>
      </c>
      <c r="D85" t="s">
        <v>121</v>
      </c>
      <c r="E85" t="s">
        <v>7</v>
      </c>
      <c r="F85">
        <v>1483303.4</v>
      </c>
      <c r="G85" s="1">
        <v>45284</v>
      </c>
      <c r="H85">
        <v>23</v>
      </c>
      <c r="I85" t="s">
        <v>484</v>
      </c>
    </row>
    <row r="86" spans="1:9" hidden="1" x14ac:dyDescent="0.25">
      <c r="A86">
        <v>2000121</v>
      </c>
      <c r="B86" t="s">
        <v>382</v>
      </c>
      <c r="C86" t="s">
        <v>274</v>
      </c>
      <c r="D86" t="s">
        <v>121</v>
      </c>
      <c r="E86" t="s">
        <v>7</v>
      </c>
      <c r="F86">
        <v>179918.12</v>
      </c>
      <c r="G86" s="1">
        <v>45284</v>
      </c>
      <c r="H86">
        <v>23</v>
      </c>
      <c r="I86" t="s">
        <v>484</v>
      </c>
    </row>
    <row r="87" spans="1:9" hidden="1" x14ac:dyDescent="0.25">
      <c r="A87">
        <v>2000121</v>
      </c>
      <c r="B87" t="s">
        <v>377</v>
      </c>
      <c r="C87" t="s">
        <v>269</v>
      </c>
      <c r="D87" t="s">
        <v>121</v>
      </c>
      <c r="E87" t="s">
        <v>7</v>
      </c>
      <c r="F87">
        <v>2141528.85</v>
      </c>
      <c r="G87" s="1">
        <v>45291</v>
      </c>
      <c r="H87">
        <v>16</v>
      </c>
      <c r="I87" t="s">
        <v>484</v>
      </c>
    </row>
    <row r="88" spans="1:9" hidden="1" x14ac:dyDescent="0.25">
      <c r="A88">
        <v>2000121</v>
      </c>
      <c r="B88" t="s">
        <v>378</v>
      </c>
      <c r="C88" t="s">
        <v>270</v>
      </c>
      <c r="D88" t="s">
        <v>121</v>
      </c>
      <c r="E88" t="s">
        <v>7</v>
      </c>
      <c r="F88">
        <v>346840</v>
      </c>
      <c r="G88" s="1">
        <v>45277</v>
      </c>
      <c r="H88">
        <v>30</v>
      </c>
      <c r="I88" t="s">
        <v>484</v>
      </c>
    </row>
    <row r="89" spans="1:9" hidden="1" x14ac:dyDescent="0.25">
      <c r="A89">
        <v>2000121</v>
      </c>
      <c r="B89" t="s">
        <v>379</v>
      </c>
      <c r="C89" t="s">
        <v>268</v>
      </c>
      <c r="D89" t="s">
        <v>214</v>
      </c>
      <c r="E89" t="s">
        <v>7</v>
      </c>
      <c r="F89">
        <v>218670.02</v>
      </c>
      <c r="G89" s="1">
        <v>45287</v>
      </c>
      <c r="H89">
        <v>20</v>
      </c>
      <c r="I89" t="s">
        <v>484</v>
      </c>
    </row>
    <row r="90" spans="1:9" hidden="1" x14ac:dyDescent="0.25">
      <c r="A90">
        <v>2000121</v>
      </c>
      <c r="B90" t="s">
        <v>380</v>
      </c>
      <c r="C90" t="s">
        <v>265</v>
      </c>
      <c r="D90" t="s">
        <v>121</v>
      </c>
      <c r="E90" t="s">
        <v>7</v>
      </c>
      <c r="F90">
        <v>2141528.85</v>
      </c>
      <c r="G90" s="1">
        <v>45291</v>
      </c>
      <c r="H90">
        <v>16</v>
      </c>
      <c r="I90" t="s">
        <v>484</v>
      </c>
    </row>
    <row r="91" spans="1:9" hidden="1" x14ac:dyDescent="0.25">
      <c r="A91">
        <v>2000121</v>
      </c>
      <c r="B91" t="s">
        <v>375</v>
      </c>
      <c r="C91" t="s">
        <v>264</v>
      </c>
      <c r="D91" t="s">
        <v>376</v>
      </c>
      <c r="E91" t="s">
        <v>7</v>
      </c>
      <c r="F91">
        <v>2141528.85</v>
      </c>
      <c r="G91" s="1">
        <v>45291</v>
      </c>
      <c r="H91">
        <v>16</v>
      </c>
      <c r="I91" t="s">
        <v>484</v>
      </c>
    </row>
    <row r="92" spans="1:9" hidden="1" x14ac:dyDescent="0.25">
      <c r="A92">
        <v>2000121</v>
      </c>
      <c r="B92" t="s">
        <v>374</v>
      </c>
      <c r="C92" t="s">
        <v>275</v>
      </c>
      <c r="D92" t="s">
        <v>121</v>
      </c>
      <c r="E92" t="s">
        <v>7</v>
      </c>
      <c r="F92">
        <v>2141528.85</v>
      </c>
      <c r="G92" s="1">
        <v>45291</v>
      </c>
      <c r="H92">
        <v>16</v>
      </c>
      <c r="I92" t="s">
        <v>484</v>
      </c>
    </row>
    <row r="93" spans="1:9" hidden="1" x14ac:dyDescent="0.25">
      <c r="A93">
        <v>2000121</v>
      </c>
      <c r="B93" t="s">
        <v>373</v>
      </c>
      <c r="C93" t="s">
        <v>266</v>
      </c>
      <c r="D93" t="s">
        <v>121</v>
      </c>
      <c r="E93" t="s">
        <v>7</v>
      </c>
      <c r="F93">
        <v>2141528.85</v>
      </c>
      <c r="G93" s="1">
        <v>45291</v>
      </c>
      <c r="H93">
        <v>16</v>
      </c>
      <c r="I93" t="s">
        <v>484</v>
      </c>
    </row>
    <row r="94" spans="1:9" hidden="1" x14ac:dyDescent="0.25">
      <c r="A94">
        <v>2001398</v>
      </c>
      <c r="B94" t="s">
        <v>383</v>
      </c>
      <c r="C94" t="s">
        <v>276</v>
      </c>
      <c r="D94" t="s">
        <v>277</v>
      </c>
      <c r="E94" t="s">
        <v>7</v>
      </c>
      <c r="F94">
        <v>139288</v>
      </c>
      <c r="G94" s="1">
        <v>45294</v>
      </c>
      <c r="H94">
        <v>13</v>
      </c>
      <c r="I94" t="s">
        <v>485</v>
      </c>
    </row>
    <row r="95" spans="1:9" hidden="1" x14ac:dyDescent="0.25">
      <c r="A95">
        <v>2001398</v>
      </c>
      <c r="B95" t="s">
        <v>383</v>
      </c>
      <c r="C95" t="s">
        <v>278</v>
      </c>
      <c r="D95" t="s">
        <v>277</v>
      </c>
      <c r="E95" t="s">
        <v>7</v>
      </c>
      <c r="F95">
        <v>98548.91</v>
      </c>
      <c r="G95" s="1">
        <v>45294</v>
      </c>
      <c r="H95">
        <v>13</v>
      </c>
      <c r="I95" t="s">
        <v>485</v>
      </c>
    </row>
    <row r="96" spans="1:9" hidden="1" x14ac:dyDescent="0.25">
      <c r="A96">
        <v>2002452</v>
      </c>
      <c r="B96" t="s">
        <v>556</v>
      </c>
      <c r="C96" t="s">
        <v>529</v>
      </c>
      <c r="D96" t="s">
        <v>530</v>
      </c>
      <c r="E96" t="s">
        <v>7</v>
      </c>
      <c r="F96">
        <v>435045</v>
      </c>
      <c r="G96" s="1">
        <v>45301</v>
      </c>
      <c r="H96">
        <v>6</v>
      </c>
      <c r="I96" t="s">
        <v>547</v>
      </c>
    </row>
    <row r="97" spans="1:9" hidden="1" x14ac:dyDescent="0.25">
      <c r="A97">
        <v>2002545</v>
      </c>
      <c r="B97" t="s">
        <v>384</v>
      </c>
      <c r="C97" t="s">
        <v>279</v>
      </c>
      <c r="D97" t="s">
        <v>280</v>
      </c>
      <c r="E97" t="s">
        <v>7</v>
      </c>
      <c r="F97">
        <v>262979.44</v>
      </c>
      <c r="G97" s="1">
        <v>45294</v>
      </c>
      <c r="H97">
        <v>13</v>
      </c>
      <c r="I97" t="s">
        <v>486</v>
      </c>
    </row>
    <row r="98" spans="1:9" hidden="1" x14ac:dyDescent="0.25">
      <c r="A98">
        <v>2003103</v>
      </c>
      <c r="B98" t="s">
        <v>386</v>
      </c>
      <c r="C98" t="s">
        <v>281</v>
      </c>
      <c r="D98" t="s">
        <v>282</v>
      </c>
      <c r="E98" t="s">
        <v>7</v>
      </c>
      <c r="F98">
        <v>512877</v>
      </c>
      <c r="G98" s="1">
        <v>45294</v>
      </c>
      <c r="H98">
        <v>13</v>
      </c>
    </row>
    <row r="99" spans="1:9" hidden="1" x14ac:dyDescent="0.25">
      <c r="A99">
        <v>2003103</v>
      </c>
      <c r="B99" t="s">
        <v>385</v>
      </c>
      <c r="C99" t="s">
        <v>283</v>
      </c>
      <c r="D99" t="s">
        <v>282</v>
      </c>
      <c r="E99" t="s">
        <v>7</v>
      </c>
      <c r="F99">
        <v>114425</v>
      </c>
      <c r="G99" s="1">
        <v>45294</v>
      </c>
      <c r="H99">
        <v>13</v>
      </c>
    </row>
    <row r="100" spans="1:9" hidden="1" x14ac:dyDescent="0.25">
      <c r="A100">
        <v>2003794</v>
      </c>
      <c r="B100" t="s">
        <v>578</v>
      </c>
      <c r="C100" t="s">
        <v>566</v>
      </c>
      <c r="D100" t="s">
        <v>567</v>
      </c>
      <c r="E100" t="s">
        <v>21</v>
      </c>
      <c r="F100">
        <v>15962.9</v>
      </c>
      <c r="G100" s="1">
        <v>45301</v>
      </c>
      <c r="H100">
        <v>6</v>
      </c>
      <c r="I100" t="s">
        <v>574</v>
      </c>
    </row>
    <row r="101" spans="1:9" hidden="1" x14ac:dyDescent="0.25">
      <c r="A101">
        <v>2003973</v>
      </c>
      <c r="B101" t="s">
        <v>557</v>
      </c>
      <c r="C101" t="s">
        <v>531</v>
      </c>
      <c r="D101" t="s">
        <v>558</v>
      </c>
      <c r="E101" t="s">
        <v>7</v>
      </c>
      <c r="F101">
        <v>700000</v>
      </c>
      <c r="G101" s="1">
        <v>45301</v>
      </c>
      <c r="H101">
        <v>6</v>
      </c>
      <c r="I101" t="s">
        <v>487</v>
      </c>
    </row>
    <row r="102" spans="1:9" hidden="1" x14ac:dyDescent="0.25">
      <c r="A102">
        <v>2004792</v>
      </c>
      <c r="B102" t="s">
        <v>205</v>
      </c>
      <c r="C102" t="s">
        <v>284</v>
      </c>
      <c r="D102" t="s">
        <v>140</v>
      </c>
      <c r="E102" t="s">
        <v>7</v>
      </c>
      <c r="F102">
        <v>180325.75</v>
      </c>
      <c r="G102" s="1">
        <v>45287</v>
      </c>
      <c r="H102">
        <v>20</v>
      </c>
      <c r="I102" t="s">
        <v>488</v>
      </c>
    </row>
    <row r="103" spans="1:9" hidden="1" x14ac:dyDescent="0.25">
      <c r="A103">
        <v>2004792</v>
      </c>
      <c r="B103" t="s">
        <v>205</v>
      </c>
      <c r="C103" t="s">
        <v>139</v>
      </c>
      <c r="D103" t="s">
        <v>140</v>
      </c>
      <c r="E103" t="s">
        <v>7</v>
      </c>
      <c r="F103">
        <v>180325.75</v>
      </c>
      <c r="G103" s="1">
        <v>45272</v>
      </c>
      <c r="H103">
        <v>35</v>
      </c>
      <c r="I103" t="s">
        <v>488</v>
      </c>
    </row>
    <row r="104" spans="1:9" hidden="1" x14ac:dyDescent="0.25">
      <c r="A104">
        <v>2006641</v>
      </c>
      <c r="B104" t="s">
        <v>389</v>
      </c>
      <c r="C104" t="s">
        <v>287</v>
      </c>
      <c r="D104" t="s">
        <v>136</v>
      </c>
      <c r="E104" t="s">
        <v>7</v>
      </c>
      <c r="F104">
        <v>512050.64</v>
      </c>
      <c r="G104" s="1">
        <v>45293</v>
      </c>
      <c r="H104">
        <v>14</v>
      </c>
    </row>
    <row r="105" spans="1:9" hidden="1" x14ac:dyDescent="0.25">
      <c r="A105">
        <v>2006641</v>
      </c>
      <c r="B105" t="s">
        <v>206</v>
      </c>
      <c r="C105" t="s">
        <v>135</v>
      </c>
      <c r="D105" t="s">
        <v>136</v>
      </c>
      <c r="E105" t="s">
        <v>7</v>
      </c>
      <c r="F105">
        <v>433612.1</v>
      </c>
      <c r="G105" s="1">
        <v>45249</v>
      </c>
      <c r="H105">
        <v>58</v>
      </c>
    </row>
    <row r="106" spans="1:9" hidden="1" x14ac:dyDescent="0.25">
      <c r="A106">
        <v>2006641</v>
      </c>
      <c r="B106" t="s">
        <v>387</v>
      </c>
      <c r="C106" t="s">
        <v>285</v>
      </c>
      <c r="D106" t="s">
        <v>388</v>
      </c>
      <c r="E106" t="s">
        <v>7</v>
      </c>
      <c r="F106">
        <v>819030</v>
      </c>
      <c r="G106" s="1">
        <v>45291</v>
      </c>
      <c r="H106">
        <v>16</v>
      </c>
    </row>
    <row r="107" spans="1:9" hidden="1" x14ac:dyDescent="0.25">
      <c r="A107">
        <v>2006641</v>
      </c>
      <c r="B107" t="s">
        <v>206</v>
      </c>
      <c r="C107" t="s">
        <v>434</v>
      </c>
      <c r="D107" t="s">
        <v>136</v>
      </c>
      <c r="E107" t="s">
        <v>7</v>
      </c>
      <c r="F107">
        <v>654916.94999999995</v>
      </c>
      <c r="G107" s="1">
        <v>45295</v>
      </c>
      <c r="H107">
        <v>12</v>
      </c>
    </row>
    <row r="108" spans="1:9" hidden="1" x14ac:dyDescent="0.25">
      <c r="A108">
        <v>2007283</v>
      </c>
      <c r="B108" t="s">
        <v>207</v>
      </c>
      <c r="C108" t="s">
        <v>107</v>
      </c>
      <c r="D108" t="s">
        <v>108</v>
      </c>
      <c r="E108" t="s">
        <v>7</v>
      </c>
      <c r="F108">
        <v>517646.36</v>
      </c>
      <c r="G108" s="1">
        <v>45265</v>
      </c>
      <c r="H108">
        <v>42</v>
      </c>
      <c r="I108" t="s">
        <v>489</v>
      </c>
    </row>
    <row r="109" spans="1:9" hidden="1" x14ac:dyDescent="0.25">
      <c r="A109">
        <v>2007283</v>
      </c>
      <c r="B109" t="s">
        <v>515</v>
      </c>
      <c r="C109" t="s">
        <v>498</v>
      </c>
      <c r="D109" t="s">
        <v>106</v>
      </c>
      <c r="E109" t="s">
        <v>7</v>
      </c>
      <c r="F109">
        <v>77745.27</v>
      </c>
      <c r="G109" s="1">
        <v>45300</v>
      </c>
      <c r="H109">
        <v>7</v>
      </c>
      <c r="I109" t="s">
        <v>489</v>
      </c>
    </row>
    <row r="110" spans="1:9" hidden="1" x14ac:dyDescent="0.25">
      <c r="A110">
        <v>2009048</v>
      </c>
      <c r="B110" t="s">
        <v>579</v>
      </c>
      <c r="C110" t="s">
        <v>568</v>
      </c>
      <c r="D110" t="s">
        <v>443</v>
      </c>
      <c r="E110" t="s">
        <v>7</v>
      </c>
      <c r="F110">
        <v>1955000</v>
      </c>
      <c r="G110" s="1">
        <v>45302</v>
      </c>
      <c r="H110">
        <v>5</v>
      </c>
      <c r="I110" t="s">
        <v>490</v>
      </c>
    </row>
    <row r="111" spans="1:9" hidden="1" x14ac:dyDescent="0.25">
      <c r="A111">
        <v>2009048</v>
      </c>
      <c r="B111" t="s">
        <v>449</v>
      </c>
      <c r="C111" t="s">
        <v>442</v>
      </c>
      <c r="D111" t="s">
        <v>443</v>
      </c>
      <c r="E111" t="s">
        <v>7</v>
      </c>
      <c r="F111">
        <v>203714.9</v>
      </c>
      <c r="G111" s="1">
        <v>45299</v>
      </c>
      <c r="H111">
        <v>8</v>
      </c>
      <c r="I111" t="s">
        <v>490</v>
      </c>
    </row>
    <row r="112" spans="1:9" hidden="1" x14ac:dyDescent="0.25">
      <c r="A112">
        <v>2009048</v>
      </c>
      <c r="B112" t="s">
        <v>559</v>
      </c>
      <c r="C112" t="s">
        <v>533</v>
      </c>
      <c r="D112" t="s">
        <v>443</v>
      </c>
      <c r="E112" t="s">
        <v>7</v>
      </c>
      <c r="F112">
        <v>45104.9</v>
      </c>
      <c r="G112" s="1">
        <v>45301</v>
      </c>
      <c r="H112">
        <v>6</v>
      </c>
      <c r="I112" t="s">
        <v>490</v>
      </c>
    </row>
    <row r="113" spans="1:9" hidden="1" x14ac:dyDescent="0.25">
      <c r="A113">
        <v>2009231</v>
      </c>
      <c r="B113" t="s">
        <v>516</v>
      </c>
      <c r="C113" t="s">
        <v>499</v>
      </c>
      <c r="D113" t="s">
        <v>500</v>
      </c>
      <c r="E113" t="s">
        <v>7</v>
      </c>
      <c r="F113">
        <v>502435.34</v>
      </c>
      <c r="G113" s="1">
        <v>45300</v>
      </c>
      <c r="H113">
        <v>7</v>
      </c>
      <c r="I113" t="s">
        <v>504</v>
      </c>
    </row>
    <row r="114" spans="1:9" hidden="1" x14ac:dyDescent="0.25">
      <c r="A114">
        <v>2010705</v>
      </c>
      <c r="B114" t="s">
        <v>560</v>
      </c>
      <c r="C114" t="s">
        <v>534</v>
      </c>
      <c r="D114" t="s">
        <v>535</v>
      </c>
      <c r="E114" t="s">
        <v>7</v>
      </c>
      <c r="F114">
        <v>500000</v>
      </c>
      <c r="G114" s="1">
        <v>45301</v>
      </c>
      <c r="H114">
        <v>6</v>
      </c>
      <c r="I114" t="s">
        <v>548</v>
      </c>
    </row>
    <row r="115" spans="1:9" hidden="1" x14ac:dyDescent="0.25">
      <c r="A115">
        <v>2015159</v>
      </c>
      <c r="B115" t="s">
        <v>580</v>
      </c>
      <c r="C115" t="s">
        <v>569</v>
      </c>
      <c r="D115" t="s">
        <v>41</v>
      </c>
      <c r="E115" t="s">
        <v>7</v>
      </c>
      <c r="F115">
        <v>99298.26</v>
      </c>
      <c r="G115" s="1">
        <v>45302</v>
      </c>
      <c r="H115">
        <v>5</v>
      </c>
      <c r="I115" t="s">
        <v>505</v>
      </c>
    </row>
    <row r="116" spans="1:9" hidden="1" x14ac:dyDescent="0.25">
      <c r="A116">
        <v>2015159</v>
      </c>
      <c r="B116" t="s">
        <v>517</v>
      </c>
      <c r="C116" t="s">
        <v>501</v>
      </c>
      <c r="D116" t="s">
        <v>41</v>
      </c>
      <c r="E116" t="s">
        <v>7</v>
      </c>
      <c r="F116">
        <v>4379282.26</v>
      </c>
      <c r="G116" s="1">
        <v>45300</v>
      </c>
      <c r="H116">
        <v>7</v>
      </c>
      <c r="I116" t="s">
        <v>505</v>
      </c>
    </row>
    <row r="117" spans="1:9" hidden="1" x14ac:dyDescent="0.25">
      <c r="A117">
        <v>2017412</v>
      </c>
      <c r="B117" t="s">
        <v>208</v>
      </c>
      <c r="C117" t="s">
        <v>137</v>
      </c>
      <c r="D117" t="s">
        <v>138</v>
      </c>
      <c r="E117" t="s">
        <v>7</v>
      </c>
      <c r="F117">
        <v>336145.99</v>
      </c>
      <c r="G117" s="1">
        <v>45267</v>
      </c>
      <c r="H117">
        <v>40</v>
      </c>
    </row>
    <row r="118" spans="1:9" hidden="1" x14ac:dyDescent="0.25">
      <c r="A118">
        <v>2018359</v>
      </c>
      <c r="B118" t="s">
        <v>450</v>
      </c>
      <c r="C118" t="s">
        <v>444</v>
      </c>
      <c r="D118" t="s">
        <v>451</v>
      </c>
      <c r="E118" t="s">
        <v>21</v>
      </c>
      <c r="F118">
        <v>196000</v>
      </c>
      <c r="G118" s="1">
        <v>45299</v>
      </c>
      <c r="H118">
        <v>8</v>
      </c>
      <c r="I118" t="s">
        <v>491</v>
      </c>
    </row>
    <row r="119" spans="1:9" hidden="1" x14ac:dyDescent="0.25">
      <c r="A119">
        <v>2019013</v>
      </c>
      <c r="B119" t="s">
        <v>390</v>
      </c>
      <c r="C119" t="s">
        <v>288</v>
      </c>
      <c r="D119" t="s">
        <v>218</v>
      </c>
      <c r="E119" t="s">
        <v>7</v>
      </c>
      <c r="F119">
        <v>742755.11</v>
      </c>
      <c r="G119" s="1">
        <v>45284</v>
      </c>
      <c r="H119">
        <v>23</v>
      </c>
      <c r="I119" t="s">
        <v>492</v>
      </c>
    </row>
    <row r="120" spans="1:9" hidden="1" x14ac:dyDescent="0.25">
      <c r="A120">
        <v>2022274</v>
      </c>
      <c r="B120" t="s">
        <v>391</v>
      </c>
      <c r="C120" t="s">
        <v>289</v>
      </c>
      <c r="D120" t="s">
        <v>290</v>
      </c>
      <c r="E120" t="s">
        <v>7</v>
      </c>
      <c r="F120">
        <v>117127.75</v>
      </c>
      <c r="G120" s="1">
        <v>45293</v>
      </c>
      <c r="H120">
        <v>14</v>
      </c>
    </row>
  </sheetData>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46EF06-762A-41C9-8182-7A5B842510E5}">
  <sheetPr codeName="JED_LT_60DAYS"/>
  <dimension ref="A1:K25"/>
  <sheetViews>
    <sheetView showGridLines="0" workbookViewId="0"/>
  </sheetViews>
  <sheetFormatPr defaultColWidth="0" defaultRowHeight="15" x14ac:dyDescent="0.25"/>
  <cols>
    <col min="1" max="1" width="14.7109375" customWidth="1"/>
    <col min="2" max="2" width="10.5703125" bestFit="1" customWidth="1"/>
    <col min="3" max="3" width="16.42578125" bestFit="1" customWidth="1"/>
    <col min="4" max="4" width="37.28515625" bestFit="1" customWidth="1"/>
    <col min="5" max="5" width="7.28515625" bestFit="1" customWidth="1"/>
    <col min="6" max="6" width="16.42578125" bestFit="1" customWidth="1"/>
    <col min="7" max="7" width="21.7109375" bestFit="1" customWidth="1"/>
    <col min="8" max="9" width="9.28515625" bestFit="1" customWidth="1"/>
    <col min="10" max="10" width="9.28515625" hidden="1" customWidth="1"/>
    <col min="11" max="11" width="81.140625" hidden="1" customWidth="1"/>
    <col min="12" max="16384" width="9.140625" hidden="1"/>
  </cols>
  <sheetData>
    <row r="1" spans="1:8" ht="18.75" x14ac:dyDescent="0.3">
      <c r="B1" s="24" t="b">
        <v>0</v>
      </c>
      <c r="D1" s="9" t="s">
        <v>224</v>
      </c>
      <c r="G1" s="8" t="s">
        <v>185</v>
      </c>
      <c r="H1" s="11">
        <f>WorkingFile!$M$3</f>
        <v>10</v>
      </c>
    </row>
    <row r="3" spans="1:8" x14ac:dyDescent="0.25">
      <c r="A3" t="b">
        <v>0</v>
      </c>
    </row>
    <row r="4" spans="1:8" ht="18.95" customHeight="1" x14ac:dyDescent="0.25"/>
    <row r="5" spans="1:8" x14ac:dyDescent="0.25">
      <c r="B5" t="s">
        <v>1</v>
      </c>
      <c r="C5" t="s">
        <v>0</v>
      </c>
      <c r="D5" t="s">
        <v>2</v>
      </c>
      <c r="E5" t="s">
        <v>3</v>
      </c>
      <c r="F5" t="s">
        <v>4</v>
      </c>
      <c r="G5" t="s">
        <v>5</v>
      </c>
      <c r="H5" t="s">
        <v>141</v>
      </c>
    </row>
    <row r="6" spans="1:8" x14ac:dyDescent="0.25">
      <c r="B6">
        <v>1069802</v>
      </c>
      <c r="C6" t="s">
        <v>291</v>
      </c>
      <c r="D6" t="s">
        <v>168</v>
      </c>
      <c r="E6" t="s">
        <v>7</v>
      </c>
      <c r="F6">
        <v>330395</v>
      </c>
      <c r="G6" s="1">
        <v>45285</v>
      </c>
      <c r="H6">
        <v>22</v>
      </c>
    </row>
    <row r="7" spans="1:8" x14ac:dyDescent="0.25">
      <c r="B7">
        <v>1136461</v>
      </c>
      <c r="C7" t="s">
        <v>507</v>
      </c>
      <c r="D7" t="s">
        <v>293</v>
      </c>
      <c r="E7" t="s">
        <v>21</v>
      </c>
      <c r="F7">
        <v>368368</v>
      </c>
      <c r="G7" s="1">
        <v>45299</v>
      </c>
      <c r="H7">
        <v>8</v>
      </c>
    </row>
    <row r="8" spans="1:8" x14ac:dyDescent="0.25">
      <c r="B8">
        <v>1148044</v>
      </c>
      <c r="C8" t="s">
        <v>297</v>
      </c>
      <c r="D8" t="s">
        <v>296</v>
      </c>
      <c r="E8" t="s">
        <v>21</v>
      </c>
      <c r="F8">
        <v>44721.2</v>
      </c>
      <c r="G8" s="1">
        <v>45292</v>
      </c>
      <c r="H8">
        <v>15</v>
      </c>
    </row>
    <row r="9" spans="1:8" x14ac:dyDescent="0.25">
      <c r="B9">
        <v>1168126</v>
      </c>
      <c r="C9" t="s">
        <v>298</v>
      </c>
      <c r="D9" t="s">
        <v>299</v>
      </c>
      <c r="E9" t="s">
        <v>21</v>
      </c>
      <c r="F9">
        <v>60500</v>
      </c>
      <c r="G9" s="1">
        <v>45294</v>
      </c>
      <c r="H9">
        <v>13</v>
      </c>
    </row>
    <row r="10" spans="1:8" x14ac:dyDescent="0.25">
      <c r="B10">
        <v>2002234</v>
      </c>
      <c r="C10" t="s">
        <v>536</v>
      </c>
      <c r="D10" t="s">
        <v>537</v>
      </c>
      <c r="E10" t="s">
        <v>7</v>
      </c>
      <c r="F10">
        <v>100000</v>
      </c>
      <c r="G10" s="1">
        <v>45301</v>
      </c>
      <c r="H10">
        <v>6</v>
      </c>
    </row>
    <row r="11" spans="1:8" x14ac:dyDescent="0.25">
      <c r="B11">
        <v>2004878</v>
      </c>
      <c r="C11" t="s">
        <v>302</v>
      </c>
      <c r="D11" t="s">
        <v>163</v>
      </c>
      <c r="E11" t="s">
        <v>7</v>
      </c>
      <c r="F11">
        <v>184000</v>
      </c>
      <c r="G11" s="1">
        <v>45291</v>
      </c>
      <c r="H11">
        <v>16</v>
      </c>
    </row>
    <row r="12" spans="1:8" x14ac:dyDescent="0.25">
      <c r="B12">
        <v>2005148</v>
      </c>
      <c r="C12" t="s">
        <v>303</v>
      </c>
      <c r="D12" t="s">
        <v>304</v>
      </c>
      <c r="E12" t="s">
        <v>7</v>
      </c>
      <c r="F12">
        <v>1000000</v>
      </c>
      <c r="G12" s="1">
        <v>45281</v>
      </c>
      <c r="H12">
        <v>26</v>
      </c>
    </row>
    <row r="13" spans="1:8" x14ac:dyDescent="0.25">
      <c r="B13">
        <v>2005526</v>
      </c>
      <c r="C13" t="s">
        <v>305</v>
      </c>
      <c r="D13" t="s">
        <v>306</v>
      </c>
      <c r="E13" t="s">
        <v>21</v>
      </c>
      <c r="F13">
        <v>532889.31000000006</v>
      </c>
      <c r="G13" s="1">
        <v>45281</v>
      </c>
      <c r="H13">
        <v>26</v>
      </c>
    </row>
    <row r="14" spans="1:8" x14ac:dyDescent="0.25">
      <c r="B14">
        <v>2005526</v>
      </c>
      <c r="C14" t="s">
        <v>307</v>
      </c>
      <c r="D14" t="s">
        <v>306</v>
      </c>
      <c r="E14" t="s">
        <v>21</v>
      </c>
      <c r="F14">
        <v>152854.56</v>
      </c>
      <c r="G14" s="1">
        <v>45281</v>
      </c>
      <c r="H14">
        <v>26</v>
      </c>
    </row>
    <row r="15" spans="1:8" x14ac:dyDescent="0.25">
      <c r="B15">
        <v>2006559</v>
      </c>
      <c r="C15" t="s">
        <v>308</v>
      </c>
      <c r="D15" t="s">
        <v>309</v>
      </c>
      <c r="E15" t="s">
        <v>7</v>
      </c>
      <c r="F15">
        <v>226372.08</v>
      </c>
      <c r="G15" s="1">
        <v>45292</v>
      </c>
      <c r="H15">
        <v>15</v>
      </c>
    </row>
    <row r="16" spans="1:8" x14ac:dyDescent="0.25">
      <c r="B16">
        <v>2006559</v>
      </c>
      <c r="C16" t="s">
        <v>570</v>
      </c>
      <c r="D16" t="s">
        <v>538</v>
      </c>
      <c r="E16" t="s">
        <v>7</v>
      </c>
      <c r="F16">
        <v>1844680.5</v>
      </c>
      <c r="G16" s="1">
        <v>45302</v>
      </c>
      <c r="H16">
        <v>5</v>
      </c>
    </row>
    <row r="17" spans="2:8" x14ac:dyDescent="0.25">
      <c r="B17">
        <v>2018648</v>
      </c>
      <c r="C17" t="s">
        <v>149</v>
      </c>
      <c r="D17" t="s">
        <v>150</v>
      </c>
      <c r="E17" t="s">
        <v>7</v>
      </c>
      <c r="F17">
        <v>497808.17</v>
      </c>
      <c r="G17" s="1">
        <v>45272</v>
      </c>
      <c r="H17">
        <v>35</v>
      </c>
    </row>
    <row r="18" spans="2:8" x14ac:dyDescent="0.25">
      <c r="B18">
        <v>2018648</v>
      </c>
      <c r="C18" t="s">
        <v>310</v>
      </c>
      <c r="D18" t="s">
        <v>150</v>
      </c>
      <c r="E18" t="s">
        <v>7</v>
      </c>
      <c r="F18">
        <v>3400000</v>
      </c>
      <c r="G18" s="1">
        <v>45293</v>
      </c>
      <c r="H18">
        <v>14</v>
      </c>
    </row>
    <row r="19" spans="2:8" x14ac:dyDescent="0.25">
      <c r="B19">
        <v>2018648</v>
      </c>
      <c r="C19" t="s">
        <v>311</v>
      </c>
      <c r="D19" t="s">
        <v>150</v>
      </c>
      <c r="E19" t="s">
        <v>7</v>
      </c>
      <c r="F19">
        <v>611361.52</v>
      </c>
      <c r="G19" s="1">
        <v>45280</v>
      </c>
      <c r="H19">
        <v>27</v>
      </c>
    </row>
    <row r="20" spans="2:8" x14ac:dyDescent="0.25">
      <c r="B20">
        <v>2018779</v>
      </c>
      <c r="C20" t="s">
        <v>312</v>
      </c>
      <c r="D20" t="s">
        <v>153</v>
      </c>
      <c r="E20" t="s">
        <v>7</v>
      </c>
      <c r="F20">
        <v>231150</v>
      </c>
      <c r="G20" s="1">
        <v>45285</v>
      </c>
      <c r="H20">
        <v>22</v>
      </c>
    </row>
    <row r="21" spans="2:8" x14ac:dyDescent="0.25">
      <c r="B21">
        <v>2019099</v>
      </c>
      <c r="C21" t="s">
        <v>158</v>
      </c>
      <c r="D21" t="s">
        <v>155</v>
      </c>
      <c r="E21" t="s">
        <v>21</v>
      </c>
      <c r="F21">
        <v>1295.3599999999999</v>
      </c>
      <c r="G21" s="1">
        <v>45271</v>
      </c>
      <c r="H21">
        <v>36</v>
      </c>
    </row>
    <row r="22" spans="2:8" x14ac:dyDescent="0.25">
      <c r="B22">
        <v>2019099</v>
      </c>
      <c r="C22" t="s">
        <v>156</v>
      </c>
      <c r="D22" t="s">
        <v>155</v>
      </c>
      <c r="E22" t="s">
        <v>21</v>
      </c>
      <c r="F22">
        <v>41886.559999999998</v>
      </c>
      <c r="G22" s="1">
        <v>45271</v>
      </c>
      <c r="H22">
        <v>36</v>
      </c>
    </row>
    <row r="23" spans="2:8" x14ac:dyDescent="0.25">
      <c r="B23">
        <v>2019099</v>
      </c>
      <c r="C23" t="s">
        <v>159</v>
      </c>
      <c r="D23" t="s">
        <v>155</v>
      </c>
      <c r="E23" t="s">
        <v>21</v>
      </c>
      <c r="F23">
        <v>17463.560000000001</v>
      </c>
      <c r="G23" s="1">
        <v>45270</v>
      </c>
      <c r="H23">
        <v>37</v>
      </c>
    </row>
    <row r="24" spans="2:8" x14ac:dyDescent="0.25">
      <c r="B24">
        <v>2019099</v>
      </c>
      <c r="C24" t="s">
        <v>313</v>
      </c>
      <c r="D24" t="s">
        <v>314</v>
      </c>
      <c r="E24" t="s">
        <v>10</v>
      </c>
      <c r="F24">
        <v>152905.79</v>
      </c>
      <c r="G24" s="1">
        <v>45298</v>
      </c>
      <c r="H24">
        <v>9</v>
      </c>
    </row>
    <row r="25" spans="2:8" x14ac:dyDescent="0.25">
      <c r="B25">
        <v>2019099</v>
      </c>
      <c r="C25" t="s">
        <v>154</v>
      </c>
      <c r="D25" t="s">
        <v>155</v>
      </c>
      <c r="E25" t="s">
        <v>21</v>
      </c>
      <c r="F25">
        <v>337361.9</v>
      </c>
      <c r="G25" s="1">
        <v>45270</v>
      </c>
      <c r="H25">
        <v>37</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Check Box 1">
              <controlPr defaultSize="0" autoFill="0" autoLine="0" autoPict="0">
                <anchor moveWithCells="1">
                  <from>
                    <xdr:col>3</xdr:col>
                    <xdr:colOff>1000125</xdr:colOff>
                    <xdr:row>1</xdr:row>
                    <xdr:rowOff>38100</xdr:rowOff>
                  </from>
                  <to>
                    <xdr:col>3</xdr:col>
                    <xdr:colOff>2390775</xdr:colOff>
                    <xdr:row>2</xdr:row>
                    <xdr:rowOff>123825</xdr:rowOff>
                  </to>
                </anchor>
              </controlPr>
            </control>
          </mc:Choice>
        </mc:AlternateContent>
        <mc:AlternateContent xmlns:mc="http://schemas.openxmlformats.org/markup-compatibility/2006">
          <mc:Choice Requires="x14">
            <control shapeId="4098" r:id="rId4" name="Check Box 2">
              <controlPr defaultSize="0" autoFill="0" autoLine="0" autoPict="0">
                <anchor moveWithCells="1">
                  <from>
                    <xdr:col>3</xdr:col>
                    <xdr:colOff>1000125</xdr:colOff>
                    <xdr:row>2</xdr:row>
                    <xdr:rowOff>85725</xdr:rowOff>
                  </from>
                  <to>
                    <xdr:col>3</xdr:col>
                    <xdr:colOff>2476500</xdr:colOff>
                    <xdr:row>3</xdr:row>
                    <xdr:rowOff>171450</xdr:rowOff>
                  </to>
                </anchor>
              </controlPr>
            </control>
          </mc:Choice>
        </mc:AlternateContent>
      </controls>
    </mc:Choice>
  </mc:AlternateContent>
  <tableParts count="1">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30D3D3-AC7A-4719-9D12-EDCE17B46A5B}">
  <sheetPr codeName="Unique_List_Jeddah"/>
  <dimension ref="A1:C3"/>
  <sheetViews>
    <sheetView workbookViewId="0">
      <selection activeCell="I13" sqref="I13"/>
    </sheetView>
  </sheetViews>
  <sheetFormatPr defaultRowHeight="15" x14ac:dyDescent="0.25"/>
  <cols>
    <col min="1" max="1" width="10.5703125" bestFit="1" customWidth="1"/>
    <col min="2" max="2" width="32.42578125" bestFit="1" customWidth="1"/>
    <col min="3" max="3" width="81.140625" bestFit="1" customWidth="1"/>
  </cols>
  <sheetData>
    <row r="1" spans="1:3" x14ac:dyDescent="0.25">
      <c r="A1" t="s">
        <v>1</v>
      </c>
      <c r="B1" t="s">
        <v>2</v>
      </c>
      <c r="C1" t="s">
        <v>180</v>
      </c>
    </row>
    <row r="2" spans="1:3" x14ac:dyDescent="0.25">
      <c r="A2">
        <v>2004878</v>
      </c>
      <c r="B2" t="s">
        <v>163</v>
      </c>
      <c r="C2" s="14" t="s">
        <v>461</v>
      </c>
    </row>
    <row r="3" spans="1:3" x14ac:dyDescent="0.25">
      <c r="A3">
        <v>2005526</v>
      </c>
      <c r="B3" t="s">
        <v>306</v>
      </c>
      <c r="C3" s="14" t="s">
        <v>462</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30DAA4-95B8-4C0A-8182-E1710245E1F8}">
  <sheetPr codeName="No_Email_Jeddah"/>
  <dimension ref="A1:C11"/>
  <sheetViews>
    <sheetView workbookViewId="0"/>
  </sheetViews>
  <sheetFormatPr defaultRowHeight="15" x14ac:dyDescent="0.25"/>
  <cols>
    <col min="1" max="1" width="10.5703125" bestFit="1" customWidth="1"/>
    <col min="2" max="2" width="36.5703125" bestFit="1" customWidth="1"/>
    <col min="3" max="3" width="11.85546875" bestFit="1" customWidth="1"/>
  </cols>
  <sheetData>
    <row r="1" spans="1:3" x14ac:dyDescent="0.25">
      <c r="A1" t="s">
        <v>1</v>
      </c>
      <c r="B1" t="s">
        <v>2</v>
      </c>
      <c r="C1" t="s">
        <v>180</v>
      </c>
    </row>
    <row r="2" spans="1:3" x14ac:dyDescent="0.25">
      <c r="A2">
        <v>1069802</v>
      </c>
      <c r="B2" t="s">
        <v>168</v>
      </c>
    </row>
    <row r="3" spans="1:3" x14ac:dyDescent="0.25">
      <c r="A3">
        <v>1136461</v>
      </c>
      <c r="B3" t="s">
        <v>293</v>
      </c>
    </row>
    <row r="4" spans="1:3" x14ac:dyDescent="0.25">
      <c r="A4">
        <v>1148044</v>
      </c>
      <c r="B4" t="s">
        <v>296</v>
      </c>
    </row>
    <row r="5" spans="1:3" x14ac:dyDescent="0.25">
      <c r="A5">
        <v>1168126</v>
      </c>
      <c r="B5" t="s">
        <v>299</v>
      </c>
    </row>
    <row r="6" spans="1:3" x14ac:dyDescent="0.25">
      <c r="A6">
        <v>2002234</v>
      </c>
      <c r="B6" t="s">
        <v>537</v>
      </c>
    </row>
    <row r="7" spans="1:3" x14ac:dyDescent="0.25">
      <c r="A7">
        <v>2005148</v>
      </c>
      <c r="B7" t="s">
        <v>304</v>
      </c>
    </row>
    <row r="8" spans="1:3" x14ac:dyDescent="0.25">
      <c r="A8">
        <v>2006559</v>
      </c>
      <c r="B8" t="s">
        <v>538</v>
      </c>
    </row>
    <row r="9" spans="1:3" x14ac:dyDescent="0.25">
      <c r="A9">
        <v>2018648</v>
      </c>
      <c r="B9" t="s">
        <v>150</v>
      </c>
    </row>
    <row r="10" spans="1:3" x14ac:dyDescent="0.25">
      <c r="A10">
        <v>2018779</v>
      </c>
      <c r="B10" t="s">
        <v>153</v>
      </c>
    </row>
    <row r="11" spans="1:3" x14ac:dyDescent="0.25">
      <c r="A11">
        <v>2019099</v>
      </c>
      <c r="B11" t="s">
        <v>155</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8B41B5-116C-4D7A-B330-66DE153CDB90}">
  <sheetPr codeName="DAM_LT_60DAYS"/>
  <dimension ref="A1:K25"/>
  <sheetViews>
    <sheetView showGridLines="0" workbookViewId="0"/>
  </sheetViews>
  <sheetFormatPr defaultColWidth="0" defaultRowHeight="15" x14ac:dyDescent="0.25"/>
  <cols>
    <col min="1" max="1" width="14" customWidth="1"/>
    <col min="2" max="2" width="10.5703125" bestFit="1" customWidth="1"/>
    <col min="3" max="3" width="16.42578125" bestFit="1" customWidth="1"/>
    <col min="4" max="4" width="41.42578125" bestFit="1" customWidth="1"/>
    <col min="5" max="5" width="7.28515625" bestFit="1" customWidth="1"/>
    <col min="6" max="6" width="16.42578125" bestFit="1" customWidth="1"/>
    <col min="7" max="7" width="21.7109375" bestFit="1" customWidth="1"/>
    <col min="8" max="9" width="9.28515625" bestFit="1" customWidth="1"/>
    <col min="10" max="10" width="9.28515625" hidden="1" customWidth="1"/>
    <col min="11" max="11" width="81.140625" hidden="1" customWidth="1"/>
    <col min="12" max="16384" width="9.140625" hidden="1"/>
  </cols>
  <sheetData>
    <row r="1" spans="1:8" ht="18.75" x14ac:dyDescent="0.3">
      <c r="A1" t="s">
        <v>453</v>
      </c>
      <c r="B1" s="24" t="b">
        <v>1</v>
      </c>
      <c r="D1" s="9" t="s">
        <v>223</v>
      </c>
      <c r="G1" s="8" t="s">
        <v>185</v>
      </c>
      <c r="H1" s="11">
        <f>WorkingFile!$L$3</f>
        <v>12</v>
      </c>
    </row>
    <row r="3" spans="1:8" x14ac:dyDescent="0.25">
      <c r="A3" t="b">
        <v>1</v>
      </c>
    </row>
    <row r="4" spans="1:8" ht="18.600000000000001" customHeight="1" x14ac:dyDescent="0.25"/>
    <row r="5" spans="1:8" x14ac:dyDescent="0.25">
      <c r="B5" t="s">
        <v>1</v>
      </c>
      <c r="C5" t="s">
        <v>0</v>
      </c>
      <c r="D5" t="s">
        <v>2</v>
      </c>
      <c r="E5" t="s">
        <v>3</v>
      </c>
      <c r="F5" t="s">
        <v>4</v>
      </c>
      <c r="G5" t="s">
        <v>5</v>
      </c>
      <c r="H5" t="s">
        <v>141</v>
      </c>
    </row>
    <row r="6" spans="1:8" x14ac:dyDescent="0.25">
      <c r="B6" t="s">
        <v>315</v>
      </c>
      <c r="C6" t="s">
        <v>316</v>
      </c>
      <c r="D6" t="s">
        <v>317</v>
      </c>
      <c r="E6" t="s">
        <v>21</v>
      </c>
      <c r="F6">
        <v>120015</v>
      </c>
      <c r="G6" s="1">
        <v>45293</v>
      </c>
      <c r="H6">
        <v>14</v>
      </c>
    </row>
    <row r="7" spans="1:8" x14ac:dyDescent="0.25">
      <c r="B7" t="s">
        <v>452</v>
      </c>
      <c r="C7" t="s">
        <v>447</v>
      </c>
      <c r="D7" t="s">
        <v>448</v>
      </c>
      <c r="E7" t="s">
        <v>7</v>
      </c>
      <c r="F7">
        <v>1192780</v>
      </c>
      <c r="G7" s="1">
        <v>45298</v>
      </c>
      <c r="H7">
        <v>9</v>
      </c>
    </row>
    <row r="8" spans="1:8" x14ac:dyDescent="0.25">
      <c r="B8" t="s">
        <v>318</v>
      </c>
      <c r="C8" t="s">
        <v>319</v>
      </c>
      <c r="D8" t="s">
        <v>320</v>
      </c>
      <c r="E8" t="s">
        <v>7</v>
      </c>
      <c r="F8">
        <v>2715016.08</v>
      </c>
      <c r="G8" s="1">
        <v>45294</v>
      </c>
      <c r="H8">
        <v>13</v>
      </c>
    </row>
    <row r="9" spans="1:8" x14ac:dyDescent="0.25">
      <c r="B9" t="s">
        <v>321</v>
      </c>
      <c r="C9" t="s">
        <v>322</v>
      </c>
      <c r="D9" t="s">
        <v>323</v>
      </c>
      <c r="E9" t="s">
        <v>21</v>
      </c>
      <c r="F9">
        <v>1626292.35</v>
      </c>
      <c r="G9" s="1">
        <v>45286</v>
      </c>
      <c r="H9">
        <v>21</v>
      </c>
    </row>
    <row r="10" spans="1:8" x14ac:dyDescent="0.25">
      <c r="B10" t="s">
        <v>324</v>
      </c>
      <c r="C10" t="s">
        <v>327</v>
      </c>
      <c r="D10" t="s">
        <v>326</v>
      </c>
      <c r="E10" t="s">
        <v>7</v>
      </c>
      <c r="F10">
        <v>627563</v>
      </c>
      <c r="G10" s="1">
        <v>45284</v>
      </c>
      <c r="H10">
        <v>23</v>
      </c>
    </row>
    <row r="11" spans="1:8" x14ac:dyDescent="0.25">
      <c r="B11" t="s">
        <v>324</v>
      </c>
      <c r="C11" t="s">
        <v>325</v>
      </c>
      <c r="D11" t="s">
        <v>326</v>
      </c>
      <c r="E11" t="s">
        <v>7</v>
      </c>
      <c r="F11">
        <v>400000</v>
      </c>
      <c r="G11" s="1">
        <v>45285</v>
      </c>
      <c r="H11">
        <v>22</v>
      </c>
    </row>
    <row r="12" spans="1:8" x14ac:dyDescent="0.25">
      <c r="B12" t="s">
        <v>571</v>
      </c>
      <c r="C12" t="s">
        <v>572</v>
      </c>
      <c r="D12" t="s">
        <v>573</v>
      </c>
      <c r="E12" t="s">
        <v>7</v>
      </c>
      <c r="F12">
        <v>1311494.27</v>
      </c>
      <c r="G12" s="1">
        <v>45301</v>
      </c>
      <c r="H12">
        <v>6</v>
      </c>
    </row>
    <row r="13" spans="1:8" x14ac:dyDescent="0.25">
      <c r="B13" t="s">
        <v>219</v>
      </c>
      <c r="C13" t="s">
        <v>329</v>
      </c>
      <c r="D13" t="s">
        <v>144</v>
      </c>
      <c r="E13" t="s">
        <v>21</v>
      </c>
      <c r="F13">
        <v>65176.28</v>
      </c>
      <c r="G13" s="1">
        <v>45284</v>
      </c>
      <c r="H13">
        <v>23</v>
      </c>
    </row>
    <row r="14" spans="1:8" x14ac:dyDescent="0.25">
      <c r="B14" t="s">
        <v>219</v>
      </c>
      <c r="C14" t="s">
        <v>328</v>
      </c>
      <c r="D14" t="s">
        <v>145</v>
      </c>
      <c r="E14" t="s">
        <v>21</v>
      </c>
      <c r="F14">
        <v>2356292.86</v>
      </c>
      <c r="G14" s="1">
        <v>45284</v>
      </c>
      <c r="H14">
        <v>23</v>
      </c>
    </row>
    <row r="15" spans="1:8" x14ac:dyDescent="0.25">
      <c r="B15" t="s">
        <v>330</v>
      </c>
      <c r="C15" t="s">
        <v>331</v>
      </c>
      <c r="D15" t="s">
        <v>332</v>
      </c>
      <c r="E15" t="s">
        <v>7</v>
      </c>
      <c r="F15">
        <v>133804.76999999999</v>
      </c>
      <c r="G15" s="1">
        <v>45285</v>
      </c>
      <c r="H15">
        <v>22</v>
      </c>
    </row>
    <row r="16" spans="1:8" x14ac:dyDescent="0.25">
      <c r="B16" t="s">
        <v>220</v>
      </c>
      <c r="C16" t="s">
        <v>333</v>
      </c>
      <c r="D16" t="s">
        <v>334</v>
      </c>
      <c r="E16" t="s">
        <v>7</v>
      </c>
      <c r="F16">
        <v>341550</v>
      </c>
      <c r="G16" s="1">
        <v>45281</v>
      </c>
      <c r="H16">
        <v>26</v>
      </c>
    </row>
    <row r="17" spans="2:8" x14ac:dyDescent="0.25">
      <c r="B17" t="s">
        <v>220</v>
      </c>
      <c r="C17" t="s">
        <v>146</v>
      </c>
      <c r="D17" t="s">
        <v>147</v>
      </c>
      <c r="E17" t="s">
        <v>7</v>
      </c>
      <c r="F17">
        <v>100686.85</v>
      </c>
      <c r="G17" s="1">
        <v>45272</v>
      </c>
      <c r="H17">
        <v>35</v>
      </c>
    </row>
    <row r="18" spans="2:8" x14ac:dyDescent="0.25">
      <c r="B18" t="s">
        <v>518</v>
      </c>
      <c r="C18" t="s">
        <v>509</v>
      </c>
      <c r="D18" t="s">
        <v>510</v>
      </c>
      <c r="E18" t="s">
        <v>7</v>
      </c>
      <c r="F18">
        <v>318707</v>
      </c>
      <c r="G18" s="1">
        <v>45299</v>
      </c>
      <c r="H18">
        <v>8</v>
      </c>
    </row>
    <row r="19" spans="2:8" x14ac:dyDescent="0.25">
      <c r="B19" t="s">
        <v>221</v>
      </c>
      <c r="C19" t="s">
        <v>335</v>
      </c>
      <c r="D19" t="s">
        <v>148</v>
      </c>
      <c r="E19" t="s">
        <v>21</v>
      </c>
      <c r="F19">
        <v>40950.370000000003</v>
      </c>
      <c r="G19" s="1">
        <v>45295</v>
      </c>
      <c r="H19">
        <v>12</v>
      </c>
    </row>
    <row r="20" spans="2:8" x14ac:dyDescent="0.25">
      <c r="B20" t="s">
        <v>222</v>
      </c>
      <c r="C20" t="s">
        <v>539</v>
      </c>
      <c r="D20" t="s">
        <v>540</v>
      </c>
      <c r="E20" t="s">
        <v>21</v>
      </c>
      <c r="F20">
        <v>46680.95</v>
      </c>
      <c r="G20" s="1">
        <v>45301</v>
      </c>
      <c r="H20">
        <v>6</v>
      </c>
    </row>
    <row r="21" spans="2:8" x14ac:dyDescent="0.25">
      <c r="B21" t="s">
        <v>222</v>
      </c>
      <c r="C21" t="s">
        <v>541</v>
      </c>
      <c r="D21" t="s">
        <v>540</v>
      </c>
      <c r="E21" t="s">
        <v>21</v>
      </c>
      <c r="F21">
        <v>274849.59999999998</v>
      </c>
      <c r="G21" s="1">
        <v>45301</v>
      </c>
      <c r="H21">
        <v>6</v>
      </c>
    </row>
    <row r="22" spans="2:8" x14ac:dyDescent="0.25">
      <c r="B22" t="s">
        <v>222</v>
      </c>
      <c r="C22" t="s">
        <v>542</v>
      </c>
      <c r="D22" t="s">
        <v>540</v>
      </c>
      <c r="E22" t="s">
        <v>21</v>
      </c>
      <c r="F22">
        <v>1361470.39</v>
      </c>
      <c r="G22" s="1">
        <v>45301</v>
      </c>
      <c r="H22">
        <v>6</v>
      </c>
    </row>
    <row r="23" spans="2:8" x14ac:dyDescent="0.25">
      <c r="B23" t="s">
        <v>222</v>
      </c>
      <c r="C23" t="s">
        <v>544</v>
      </c>
      <c r="D23" t="s">
        <v>540</v>
      </c>
      <c r="E23" t="s">
        <v>21</v>
      </c>
      <c r="F23">
        <v>1037995.2</v>
      </c>
      <c r="G23" s="1">
        <v>45301</v>
      </c>
      <c r="H23">
        <v>6</v>
      </c>
    </row>
    <row r="24" spans="2:8" x14ac:dyDescent="0.25">
      <c r="B24" t="s">
        <v>222</v>
      </c>
      <c r="C24" t="s">
        <v>545</v>
      </c>
      <c r="D24" t="s">
        <v>540</v>
      </c>
      <c r="E24" t="s">
        <v>21</v>
      </c>
      <c r="F24">
        <v>18326.38</v>
      </c>
      <c r="G24" s="1">
        <v>45301</v>
      </c>
      <c r="H24">
        <v>6</v>
      </c>
    </row>
    <row r="25" spans="2:8" x14ac:dyDescent="0.25">
      <c r="B25" t="s">
        <v>222</v>
      </c>
      <c r="C25" t="s">
        <v>543</v>
      </c>
      <c r="D25" t="s">
        <v>540</v>
      </c>
      <c r="E25" t="s">
        <v>21</v>
      </c>
      <c r="F25">
        <v>145702.51999999999</v>
      </c>
      <c r="G25" s="1">
        <v>45301</v>
      </c>
      <c r="H25">
        <v>6</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Check Box 1">
              <controlPr defaultSize="0" autoFill="0" autoLine="0" autoPict="0">
                <anchor moveWithCells="1">
                  <from>
                    <xdr:col>3</xdr:col>
                    <xdr:colOff>942975</xdr:colOff>
                    <xdr:row>1</xdr:row>
                    <xdr:rowOff>28575</xdr:rowOff>
                  </from>
                  <to>
                    <xdr:col>3</xdr:col>
                    <xdr:colOff>2419350</xdr:colOff>
                    <xdr:row>2</xdr:row>
                    <xdr:rowOff>114300</xdr:rowOff>
                  </to>
                </anchor>
              </controlPr>
            </control>
          </mc:Choice>
        </mc:AlternateContent>
        <mc:AlternateContent xmlns:mc="http://schemas.openxmlformats.org/markup-compatibility/2006">
          <mc:Choice Requires="x14">
            <control shapeId="5122" r:id="rId4" name="Check Box 2">
              <controlPr defaultSize="0" autoFill="0" autoLine="0" autoPict="0">
                <anchor moveWithCells="1">
                  <from>
                    <xdr:col>3</xdr:col>
                    <xdr:colOff>942975</xdr:colOff>
                    <xdr:row>2</xdr:row>
                    <xdr:rowOff>76200</xdr:rowOff>
                  </from>
                  <to>
                    <xdr:col>3</xdr:col>
                    <xdr:colOff>2419350</xdr:colOff>
                    <xdr:row>3</xdr:row>
                    <xdr:rowOff>161925</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ECCE33-602F-4115-92DB-28FE12FD3012}">
  <sheetPr codeName="Unique_List_Dammam"/>
  <dimension ref="A1:C2"/>
  <sheetViews>
    <sheetView workbookViewId="0">
      <selection activeCell="D7" sqref="D7"/>
    </sheetView>
  </sheetViews>
  <sheetFormatPr defaultRowHeight="15" x14ac:dyDescent="0.25"/>
  <cols>
    <col min="1" max="1" width="10.5703125" bestFit="1" customWidth="1"/>
    <col min="2" max="2" width="13.28515625" bestFit="1" customWidth="1"/>
    <col min="3" max="3" width="11.85546875" bestFit="1" customWidth="1"/>
  </cols>
  <sheetData>
    <row r="1" spans="1:3" x14ac:dyDescent="0.25">
      <c r="A1" t="s">
        <v>1</v>
      </c>
      <c r="B1" t="s">
        <v>2</v>
      </c>
      <c r="C1" t="s">
        <v>180</v>
      </c>
    </row>
    <row r="2" spans="1:3" x14ac:dyDescent="0.25">
      <c r="C2" s="5"/>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C785EF-39BF-46FA-9166-924AF0570E75}">
  <sheetPr codeName="WorkingFile"/>
  <dimension ref="A2:AB35"/>
  <sheetViews>
    <sheetView topLeftCell="V18" zoomScale="85" zoomScaleNormal="85" workbookViewId="0">
      <selection activeCell="X24" sqref="X24"/>
    </sheetView>
  </sheetViews>
  <sheetFormatPr defaultRowHeight="15" x14ac:dyDescent="0.25"/>
  <cols>
    <col min="1" max="1" width="10.42578125" bestFit="1" customWidth="1"/>
    <col min="2" max="2" width="26.7109375" bestFit="1" customWidth="1"/>
    <col min="3" max="3" width="29.28515625" bestFit="1" customWidth="1"/>
    <col min="4" max="4" width="26.85546875" bestFit="1" customWidth="1"/>
    <col min="5" max="5" width="26.42578125" bestFit="1" customWidth="1"/>
    <col min="6" max="6" width="29" bestFit="1" customWidth="1"/>
    <col min="7" max="7" width="26.5703125" bestFit="1" customWidth="1"/>
    <col min="8" max="8" width="32.85546875" bestFit="1" customWidth="1"/>
    <col min="9" max="9" width="35.28515625" bestFit="1" customWidth="1"/>
    <col min="10" max="10" width="33" bestFit="1" customWidth="1"/>
    <col min="11" max="11" width="25.5703125" bestFit="1" customWidth="1"/>
    <col min="12" max="12" width="28.140625" bestFit="1" customWidth="1"/>
    <col min="13" max="13" width="25.7109375" bestFit="1" customWidth="1"/>
    <col min="14" max="14" width="15.85546875" bestFit="1" customWidth="1"/>
    <col min="15" max="15" width="19.140625" bestFit="1" customWidth="1"/>
    <col min="16" max="16" width="15.7109375" bestFit="1" customWidth="1"/>
    <col min="17" max="17" width="14.7109375" bestFit="1" customWidth="1"/>
    <col min="18" max="18" width="17.28515625" bestFit="1" customWidth="1"/>
    <col min="19" max="19" width="35.28515625" bestFit="1" customWidth="1"/>
    <col min="20" max="20" width="31.28515625" bestFit="1" customWidth="1"/>
    <col min="21" max="21" width="33.85546875" bestFit="1" customWidth="1"/>
    <col min="23" max="23" width="123.5703125" customWidth="1"/>
    <col min="24" max="24" width="48.28515625" customWidth="1"/>
    <col min="25" max="25" width="68.140625" customWidth="1"/>
    <col min="26" max="26" width="45.5703125" customWidth="1"/>
    <col min="27" max="27" width="41.140625" customWidth="1"/>
    <col min="28" max="28" width="46.5703125" customWidth="1"/>
  </cols>
  <sheetData>
    <row r="2" spans="1:21" x14ac:dyDescent="0.25">
      <c r="A2" s="2" t="s">
        <v>179</v>
      </c>
      <c r="B2" t="s">
        <v>183</v>
      </c>
      <c r="C2" t="s">
        <v>182</v>
      </c>
      <c r="D2" t="s">
        <v>181</v>
      </c>
      <c r="E2" t="s">
        <v>165</v>
      </c>
      <c r="F2" t="s">
        <v>164</v>
      </c>
      <c r="G2" t="s">
        <v>166</v>
      </c>
      <c r="H2" t="s">
        <v>173</v>
      </c>
      <c r="I2" t="s">
        <v>174</v>
      </c>
      <c r="J2" t="s">
        <v>186</v>
      </c>
      <c r="K2" t="s">
        <v>187</v>
      </c>
      <c r="L2" t="s">
        <v>188</v>
      </c>
      <c r="M2" t="s">
        <v>189</v>
      </c>
      <c r="N2" t="s">
        <v>192</v>
      </c>
      <c r="O2" t="s">
        <v>190</v>
      </c>
      <c r="P2" t="s">
        <v>191</v>
      </c>
    </row>
    <row r="3" spans="1:21" x14ac:dyDescent="0.25">
      <c r="A3" s="1">
        <f ca="1">TODAY()</f>
        <v>45307</v>
      </c>
      <c r="B3">
        <v>76</v>
      </c>
      <c r="C3">
        <v>20</v>
      </c>
      <c r="D3">
        <v>20</v>
      </c>
      <c r="E3">
        <v>33</v>
      </c>
      <c r="F3">
        <v>1</v>
      </c>
      <c r="G3">
        <v>7</v>
      </c>
      <c r="H3">
        <v>55</v>
      </c>
      <c r="I3">
        <v>1</v>
      </c>
      <c r="J3">
        <v>6</v>
      </c>
      <c r="K3">
        <v>5</v>
      </c>
      <c r="L3">
        <v>12</v>
      </c>
      <c r="M3">
        <v>10</v>
      </c>
      <c r="N3" s="1">
        <v>44896</v>
      </c>
      <c r="O3" s="1">
        <v>45217</v>
      </c>
      <c r="P3" s="1">
        <v>44641</v>
      </c>
    </row>
    <row r="5" spans="1:21" x14ac:dyDescent="0.25">
      <c r="R5" s="25"/>
      <c r="S5" s="26" t="s">
        <v>160</v>
      </c>
      <c r="T5" s="26" t="s">
        <v>161</v>
      </c>
      <c r="U5" s="26" t="s">
        <v>162</v>
      </c>
    </row>
    <row r="6" spans="1:21" x14ac:dyDescent="0.25">
      <c r="R6" s="25" t="s">
        <v>175</v>
      </c>
      <c r="S6" s="25" t="s">
        <v>176</v>
      </c>
      <c r="T6" s="25" t="s">
        <v>178</v>
      </c>
      <c r="U6" s="25" t="s">
        <v>177</v>
      </c>
    </row>
    <row r="7" spans="1:21" x14ac:dyDescent="0.25">
      <c r="R7" s="25" t="s">
        <v>460</v>
      </c>
      <c r="S7" t="s">
        <v>455</v>
      </c>
      <c r="T7" t="s">
        <v>456</v>
      </c>
      <c r="U7" t="s">
        <v>457</v>
      </c>
    </row>
    <row r="8" spans="1:21" x14ac:dyDescent="0.25">
      <c r="R8" s="25" t="s">
        <v>459</v>
      </c>
      <c r="S8" t="s">
        <v>458</v>
      </c>
      <c r="T8" s="27"/>
      <c r="U8" s="25"/>
    </row>
    <row r="11" spans="1:21" x14ac:dyDescent="0.25">
      <c r="G11" s="5"/>
      <c r="H11" s="5"/>
    </row>
    <row r="23" spans="1:28" x14ac:dyDescent="0.25">
      <c r="AB23" t="s">
        <v>241</v>
      </c>
    </row>
    <row r="24" spans="1:28" ht="240" x14ac:dyDescent="0.25">
      <c r="A24" s="3"/>
      <c r="W24" s="3"/>
      <c r="X24" s="3" t="s">
        <v>519</v>
      </c>
      <c r="Y24" s="3" t="s">
        <v>239</v>
      </c>
      <c r="Z24" s="3" t="s">
        <v>238</v>
      </c>
      <c r="AA24" s="3" t="s">
        <v>426</v>
      </c>
      <c r="AB24" s="3" t="s">
        <v>425</v>
      </c>
    </row>
    <row r="25" spans="1:28" ht="165" x14ac:dyDescent="0.25">
      <c r="X25" s="3" t="s">
        <v>441</v>
      </c>
      <c r="Y25" s="3" t="s">
        <v>454</v>
      </c>
    </row>
    <row r="26" spans="1:28" x14ac:dyDescent="0.25">
      <c r="X26" s="3"/>
    </row>
    <row r="27" spans="1:28" x14ac:dyDescent="0.25">
      <c r="X27" s="3"/>
    </row>
    <row r="35" spans="23:23" x14ac:dyDescent="0.25">
      <c r="W35" s="3"/>
    </row>
  </sheetData>
  <phoneticPr fontId="12" type="noConversion"/>
  <pageMargins left="0.7" right="0.7" top="0.75" bottom="0.75" header="0.3" footer="0.3"/>
  <pageSetup paperSize="9" orientation="portrait" horizontalDpi="300" verticalDpi="0" r:id="rId1"/>
  <tableParts count="1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63D577-3337-4D62-A785-13E03F4AA5DE}">
  <sheetPr codeName="No_Email_Dammam"/>
  <dimension ref="A1:C13"/>
  <sheetViews>
    <sheetView workbookViewId="0">
      <selection activeCell="D22" sqref="D22"/>
    </sheetView>
  </sheetViews>
  <sheetFormatPr defaultRowHeight="15" x14ac:dyDescent="0.25"/>
  <cols>
    <col min="1" max="1" width="10.5703125" bestFit="1" customWidth="1"/>
    <col min="2" max="2" width="41.42578125" bestFit="1" customWidth="1"/>
    <col min="3" max="3" width="11.85546875" bestFit="1" customWidth="1"/>
  </cols>
  <sheetData>
    <row r="1" spans="1:3" x14ac:dyDescent="0.25">
      <c r="A1" t="s">
        <v>1</v>
      </c>
      <c r="B1" t="s">
        <v>2</v>
      </c>
      <c r="C1" t="s">
        <v>180</v>
      </c>
    </row>
    <row r="2" spans="1:3" x14ac:dyDescent="0.25">
      <c r="A2" t="s">
        <v>452</v>
      </c>
      <c r="B2" t="s">
        <v>448</v>
      </c>
      <c r="C2" s="5"/>
    </row>
    <row r="3" spans="1:3" x14ac:dyDescent="0.25">
      <c r="A3" t="s">
        <v>222</v>
      </c>
      <c r="B3" t="s">
        <v>540</v>
      </c>
      <c r="C3" s="5"/>
    </row>
    <row r="4" spans="1:3" x14ac:dyDescent="0.25">
      <c r="A4" t="s">
        <v>315</v>
      </c>
      <c r="B4" t="s">
        <v>317</v>
      </c>
      <c r="C4" s="5"/>
    </row>
    <row r="5" spans="1:3" x14ac:dyDescent="0.25">
      <c r="A5" t="s">
        <v>220</v>
      </c>
      <c r="B5" t="s">
        <v>147</v>
      </c>
      <c r="C5" s="5"/>
    </row>
    <row r="6" spans="1:3" x14ac:dyDescent="0.25">
      <c r="A6" t="s">
        <v>571</v>
      </c>
      <c r="B6" t="s">
        <v>573</v>
      </c>
      <c r="C6" s="5"/>
    </row>
    <row r="7" spans="1:3" x14ac:dyDescent="0.25">
      <c r="A7" t="s">
        <v>221</v>
      </c>
      <c r="B7" t="s">
        <v>148</v>
      </c>
      <c r="C7" s="5"/>
    </row>
    <row r="8" spans="1:3" x14ac:dyDescent="0.25">
      <c r="A8" t="s">
        <v>219</v>
      </c>
      <c r="B8" t="s">
        <v>144</v>
      </c>
      <c r="C8" s="5"/>
    </row>
    <row r="9" spans="1:3" x14ac:dyDescent="0.25">
      <c r="A9" t="s">
        <v>324</v>
      </c>
      <c r="B9" t="s">
        <v>326</v>
      </c>
      <c r="C9" s="5"/>
    </row>
    <row r="10" spans="1:3" x14ac:dyDescent="0.25">
      <c r="A10" t="s">
        <v>321</v>
      </c>
      <c r="B10" t="s">
        <v>323</v>
      </c>
      <c r="C10" s="5"/>
    </row>
    <row r="11" spans="1:3" x14ac:dyDescent="0.25">
      <c r="A11" t="s">
        <v>318</v>
      </c>
      <c r="B11" t="s">
        <v>320</v>
      </c>
      <c r="C11" s="5"/>
    </row>
    <row r="12" spans="1:3" x14ac:dyDescent="0.25">
      <c r="A12" t="s">
        <v>330</v>
      </c>
      <c r="B12" t="s">
        <v>332</v>
      </c>
      <c r="C12" s="5"/>
    </row>
    <row r="13" spans="1:3" x14ac:dyDescent="0.25">
      <c r="A13" t="s">
        <v>518</v>
      </c>
      <c r="B13" t="s">
        <v>510</v>
      </c>
      <c r="C13" s="5"/>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E649A4-21B8-4EDE-BBAD-FF11EB002B23}">
  <sheetPr codeName="ESCALATION_RIY"/>
  <dimension ref="A1:M37"/>
  <sheetViews>
    <sheetView showGridLines="0" zoomScale="95" zoomScaleNormal="95" workbookViewId="0">
      <selection activeCell="J12" sqref="J12"/>
    </sheetView>
  </sheetViews>
  <sheetFormatPr defaultColWidth="0" defaultRowHeight="15" x14ac:dyDescent="0.25"/>
  <cols>
    <col min="1" max="1" width="9.140625" customWidth="1"/>
    <col min="2" max="2" width="10.5703125" bestFit="1" customWidth="1"/>
    <col min="3" max="3" width="16.42578125" bestFit="1" customWidth="1"/>
    <col min="4" max="4" width="53.42578125" bestFit="1" customWidth="1"/>
    <col min="5" max="5" width="7.28515625" bestFit="1" customWidth="1"/>
    <col min="6" max="6" width="16.42578125" bestFit="1" customWidth="1"/>
    <col min="7" max="7" width="21.7109375" bestFit="1" customWidth="1"/>
    <col min="8" max="8" width="9.28515625" bestFit="1" customWidth="1"/>
    <col min="9" max="9" width="23.5703125" bestFit="1" customWidth="1"/>
    <col min="10" max="10" width="11.140625" bestFit="1" customWidth="1"/>
    <col min="11" max="11" width="23.42578125" customWidth="1"/>
    <col min="12" max="12" width="21.7109375" hidden="1" customWidth="1"/>
    <col min="13" max="13" width="9.28515625" hidden="1" customWidth="1"/>
    <col min="14" max="16384" width="9.140625" hidden="1"/>
  </cols>
  <sheetData>
    <row r="1" spans="2:9" ht="18" x14ac:dyDescent="0.25">
      <c r="D1" s="9" t="s">
        <v>226</v>
      </c>
    </row>
    <row r="2" spans="2:9" ht="18" x14ac:dyDescent="0.25">
      <c r="D2" s="9"/>
    </row>
    <row r="3" spans="2:9" ht="18" x14ac:dyDescent="0.25">
      <c r="D3" s="9"/>
    </row>
    <row r="4" spans="2:9" x14ac:dyDescent="0.25">
      <c r="B4" t="s">
        <v>1</v>
      </c>
      <c r="C4" t="s">
        <v>0</v>
      </c>
      <c r="D4" t="s">
        <v>2</v>
      </c>
      <c r="E4" t="s">
        <v>3</v>
      </c>
      <c r="F4" t="s">
        <v>4</v>
      </c>
      <c r="G4" t="s">
        <v>5</v>
      </c>
      <c r="H4" t="s">
        <v>141</v>
      </c>
      <c r="I4" t="s">
        <v>392</v>
      </c>
    </row>
    <row r="5" spans="2:9" x14ac:dyDescent="0.25">
      <c r="B5">
        <v>1002635</v>
      </c>
      <c r="C5" t="s">
        <v>82</v>
      </c>
      <c r="D5" t="s">
        <v>83</v>
      </c>
      <c r="E5" t="s">
        <v>7</v>
      </c>
      <c r="F5">
        <v>179000</v>
      </c>
      <c r="G5" s="1">
        <v>44704</v>
      </c>
      <c r="H5">
        <v>603</v>
      </c>
      <c r="I5" t="s">
        <v>406</v>
      </c>
    </row>
    <row r="6" spans="2:9" x14ac:dyDescent="0.25">
      <c r="B6">
        <v>1003488</v>
      </c>
      <c r="C6" t="s">
        <v>73</v>
      </c>
      <c r="D6" t="s">
        <v>74</v>
      </c>
      <c r="E6" t="s">
        <v>21</v>
      </c>
      <c r="F6">
        <v>198049.32</v>
      </c>
      <c r="G6" s="1">
        <v>44648</v>
      </c>
      <c r="H6">
        <v>659</v>
      </c>
      <c r="I6" t="s">
        <v>406</v>
      </c>
    </row>
    <row r="7" spans="2:9" x14ac:dyDescent="0.25">
      <c r="B7">
        <v>1004883</v>
      </c>
      <c r="C7" t="s">
        <v>69</v>
      </c>
      <c r="D7" t="s">
        <v>70</v>
      </c>
      <c r="E7" t="s">
        <v>7</v>
      </c>
      <c r="F7">
        <v>105225</v>
      </c>
      <c r="G7" s="1">
        <v>45245</v>
      </c>
      <c r="H7">
        <v>62</v>
      </c>
      <c r="I7" t="s">
        <v>581</v>
      </c>
    </row>
    <row r="8" spans="2:9" x14ac:dyDescent="0.25">
      <c r="B8">
        <v>1006835</v>
      </c>
      <c r="C8" t="s">
        <v>86</v>
      </c>
      <c r="D8" t="s">
        <v>87</v>
      </c>
      <c r="E8" t="s">
        <v>21</v>
      </c>
      <c r="F8">
        <v>161843.16</v>
      </c>
      <c r="G8" s="1">
        <v>44830</v>
      </c>
      <c r="H8">
        <v>477</v>
      </c>
      <c r="I8" t="s">
        <v>403</v>
      </c>
    </row>
    <row r="9" spans="2:9" x14ac:dyDescent="0.25">
      <c r="B9">
        <v>1007831</v>
      </c>
      <c r="C9" t="s">
        <v>102</v>
      </c>
      <c r="D9" t="s">
        <v>103</v>
      </c>
      <c r="E9" t="s">
        <v>104</v>
      </c>
      <c r="F9">
        <v>56124.09</v>
      </c>
      <c r="G9" s="1">
        <v>44965</v>
      </c>
      <c r="H9">
        <v>342</v>
      </c>
      <c r="I9" t="s">
        <v>396</v>
      </c>
    </row>
    <row r="10" spans="2:9" x14ac:dyDescent="0.25">
      <c r="B10">
        <v>1017497</v>
      </c>
      <c r="C10" t="s">
        <v>94</v>
      </c>
      <c r="D10" t="s">
        <v>6</v>
      </c>
      <c r="E10" t="s">
        <v>21</v>
      </c>
      <c r="F10">
        <v>34889.360000000001</v>
      </c>
      <c r="G10" s="1">
        <v>45242</v>
      </c>
      <c r="H10">
        <v>65</v>
      </c>
      <c r="I10" t="s">
        <v>393</v>
      </c>
    </row>
    <row r="11" spans="2:9" x14ac:dyDescent="0.25">
      <c r="B11">
        <v>1017497</v>
      </c>
      <c r="C11" t="s">
        <v>24</v>
      </c>
      <c r="D11" t="s">
        <v>6</v>
      </c>
      <c r="E11" t="s">
        <v>7</v>
      </c>
      <c r="F11">
        <v>250000</v>
      </c>
      <c r="G11" s="1">
        <v>44990</v>
      </c>
      <c r="H11">
        <v>317</v>
      </c>
      <c r="I11" t="s">
        <v>397</v>
      </c>
    </row>
    <row r="12" spans="2:9" x14ac:dyDescent="0.25">
      <c r="B12">
        <v>1017594</v>
      </c>
      <c r="C12" t="s">
        <v>92</v>
      </c>
      <c r="D12" t="s">
        <v>93</v>
      </c>
      <c r="E12" t="s">
        <v>7</v>
      </c>
      <c r="F12">
        <v>380060.36</v>
      </c>
      <c r="G12" s="1">
        <v>45001</v>
      </c>
      <c r="H12">
        <v>306</v>
      </c>
      <c r="I12" t="s">
        <v>398</v>
      </c>
    </row>
    <row r="13" spans="2:9" x14ac:dyDescent="0.25">
      <c r="B13">
        <v>1057995</v>
      </c>
      <c r="C13" t="s">
        <v>113</v>
      </c>
      <c r="D13" t="s">
        <v>114</v>
      </c>
      <c r="E13" t="s">
        <v>7</v>
      </c>
      <c r="F13">
        <v>180000</v>
      </c>
      <c r="G13" s="1">
        <v>45006</v>
      </c>
      <c r="H13">
        <v>301</v>
      </c>
      <c r="I13" t="s">
        <v>399</v>
      </c>
    </row>
    <row r="14" spans="2:9" x14ac:dyDescent="0.25">
      <c r="B14">
        <v>1060759</v>
      </c>
      <c r="C14" t="s">
        <v>84</v>
      </c>
      <c r="D14" t="s">
        <v>85</v>
      </c>
      <c r="E14" t="s">
        <v>21</v>
      </c>
      <c r="F14">
        <v>38524.449999999997</v>
      </c>
      <c r="G14" s="1">
        <v>44838</v>
      </c>
      <c r="H14">
        <v>469</v>
      </c>
      <c r="I14" t="s">
        <v>403</v>
      </c>
    </row>
    <row r="15" spans="2:9" x14ac:dyDescent="0.25">
      <c r="B15">
        <v>1066099</v>
      </c>
      <c r="C15" t="s">
        <v>123</v>
      </c>
      <c r="D15" t="s">
        <v>124</v>
      </c>
      <c r="E15" t="s">
        <v>7</v>
      </c>
      <c r="F15">
        <v>90426.4</v>
      </c>
      <c r="G15" s="1">
        <v>45239</v>
      </c>
      <c r="H15">
        <v>68</v>
      </c>
      <c r="I15" t="s">
        <v>401</v>
      </c>
    </row>
    <row r="16" spans="2:9" x14ac:dyDescent="0.25">
      <c r="B16">
        <v>1067532</v>
      </c>
      <c r="C16" t="s">
        <v>100</v>
      </c>
      <c r="D16" t="s">
        <v>101</v>
      </c>
      <c r="E16" t="s">
        <v>7</v>
      </c>
      <c r="F16">
        <v>50000</v>
      </c>
      <c r="G16" s="1">
        <v>44923</v>
      </c>
      <c r="H16">
        <v>384</v>
      </c>
      <c r="I16" t="s">
        <v>400</v>
      </c>
    </row>
    <row r="17" spans="2:9" x14ac:dyDescent="0.25">
      <c r="B17">
        <v>1067532</v>
      </c>
      <c r="C17" t="s">
        <v>58</v>
      </c>
      <c r="D17" t="s">
        <v>59</v>
      </c>
      <c r="E17" t="s">
        <v>7</v>
      </c>
      <c r="F17">
        <v>200000</v>
      </c>
      <c r="G17" s="1">
        <v>44852</v>
      </c>
      <c r="H17">
        <v>455</v>
      </c>
      <c r="I17" t="s">
        <v>400</v>
      </c>
    </row>
    <row r="18" spans="2:9" x14ac:dyDescent="0.25">
      <c r="B18">
        <v>1083384</v>
      </c>
      <c r="C18" t="s">
        <v>98</v>
      </c>
      <c r="D18" t="s">
        <v>99</v>
      </c>
      <c r="E18" t="s">
        <v>7</v>
      </c>
      <c r="F18">
        <v>1070650</v>
      </c>
      <c r="G18" s="1">
        <v>44935</v>
      </c>
      <c r="H18">
        <v>372</v>
      </c>
      <c r="I18" t="s">
        <v>400</v>
      </c>
    </row>
    <row r="19" spans="2:9" x14ac:dyDescent="0.25">
      <c r="B19">
        <v>1088708</v>
      </c>
      <c r="C19" t="s">
        <v>115</v>
      </c>
      <c r="D19" t="s">
        <v>229</v>
      </c>
      <c r="E19" t="s">
        <v>7</v>
      </c>
      <c r="F19">
        <v>144095</v>
      </c>
      <c r="G19" s="1">
        <v>44996</v>
      </c>
      <c r="H19">
        <v>311</v>
      </c>
      <c r="I19" t="s">
        <v>397</v>
      </c>
    </row>
    <row r="20" spans="2:9" x14ac:dyDescent="0.25">
      <c r="B20">
        <v>1088708</v>
      </c>
      <c r="C20" t="s">
        <v>88</v>
      </c>
      <c r="D20" t="s">
        <v>89</v>
      </c>
      <c r="E20" t="s">
        <v>7</v>
      </c>
      <c r="F20">
        <v>458019</v>
      </c>
      <c r="G20" s="1">
        <v>44678</v>
      </c>
      <c r="H20">
        <v>629</v>
      </c>
      <c r="I20" t="s">
        <v>406</v>
      </c>
    </row>
    <row r="21" spans="2:9" x14ac:dyDescent="0.25">
      <c r="B21">
        <v>1088788</v>
      </c>
      <c r="C21" t="s">
        <v>79</v>
      </c>
      <c r="D21" t="s">
        <v>80</v>
      </c>
      <c r="E21" t="s">
        <v>7</v>
      </c>
      <c r="F21">
        <v>200888.28</v>
      </c>
      <c r="G21" s="1">
        <v>44864</v>
      </c>
      <c r="H21">
        <v>443</v>
      </c>
      <c r="I21" t="s">
        <v>399</v>
      </c>
    </row>
    <row r="22" spans="2:9" x14ac:dyDescent="0.25">
      <c r="B22">
        <v>1092243</v>
      </c>
      <c r="C22" t="s">
        <v>95</v>
      </c>
      <c r="D22" t="s">
        <v>96</v>
      </c>
      <c r="E22" t="s">
        <v>7</v>
      </c>
      <c r="F22">
        <v>213788.51</v>
      </c>
      <c r="G22" s="1">
        <v>44896</v>
      </c>
      <c r="H22">
        <v>411</v>
      </c>
      <c r="I22" t="s">
        <v>397</v>
      </c>
    </row>
    <row r="23" spans="2:9" x14ac:dyDescent="0.25">
      <c r="B23">
        <v>2003973</v>
      </c>
      <c r="C23" t="s">
        <v>97</v>
      </c>
      <c r="D23" t="s">
        <v>230</v>
      </c>
      <c r="E23" t="s">
        <v>7</v>
      </c>
      <c r="F23">
        <v>150000</v>
      </c>
      <c r="G23" s="1">
        <v>44836</v>
      </c>
      <c r="H23">
        <v>471</v>
      </c>
      <c r="I23" t="s">
        <v>406</v>
      </c>
    </row>
    <row r="24" spans="2:9" x14ac:dyDescent="0.25">
      <c r="B24">
        <v>2006641</v>
      </c>
      <c r="C24" t="s">
        <v>134</v>
      </c>
      <c r="D24" t="s">
        <v>216</v>
      </c>
      <c r="E24" t="s">
        <v>7</v>
      </c>
      <c r="F24">
        <v>169528.4</v>
      </c>
      <c r="G24" s="1">
        <v>45237</v>
      </c>
      <c r="H24">
        <v>70</v>
      </c>
      <c r="I24" t="s">
        <v>400</v>
      </c>
    </row>
    <row r="25" spans="2:9" x14ac:dyDescent="0.25">
      <c r="B25">
        <v>2006641</v>
      </c>
      <c r="C25" t="s">
        <v>133</v>
      </c>
      <c r="D25" t="s">
        <v>216</v>
      </c>
      <c r="E25" t="s">
        <v>7</v>
      </c>
      <c r="F25">
        <v>244608.45</v>
      </c>
      <c r="G25" s="1">
        <v>45242</v>
      </c>
      <c r="H25">
        <v>65</v>
      </c>
      <c r="I25" t="s">
        <v>581</v>
      </c>
    </row>
    <row r="26" spans="2:9" x14ac:dyDescent="0.25">
      <c r="B26">
        <v>2007283</v>
      </c>
      <c r="C26" t="s">
        <v>105</v>
      </c>
      <c r="D26" t="s">
        <v>106</v>
      </c>
      <c r="E26" t="s">
        <v>7</v>
      </c>
      <c r="F26">
        <v>263424.81</v>
      </c>
      <c r="G26" s="1">
        <v>45238</v>
      </c>
      <c r="H26">
        <v>69</v>
      </c>
      <c r="I26" t="s">
        <v>400</v>
      </c>
    </row>
    <row r="27" spans="2:9" x14ac:dyDescent="0.25">
      <c r="B27">
        <v>2007283</v>
      </c>
      <c r="C27" t="s">
        <v>66</v>
      </c>
      <c r="D27" t="s">
        <v>32</v>
      </c>
      <c r="E27" t="s">
        <v>7</v>
      </c>
      <c r="F27">
        <v>292721</v>
      </c>
      <c r="G27" s="1">
        <v>44692</v>
      </c>
      <c r="H27">
        <v>615</v>
      </c>
      <c r="I27" t="s">
        <v>406</v>
      </c>
    </row>
    <row r="28" spans="2:9" x14ac:dyDescent="0.25">
      <c r="B28">
        <v>2009048</v>
      </c>
      <c r="C28" t="s">
        <v>127</v>
      </c>
      <c r="D28" t="s">
        <v>231</v>
      </c>
      <c r="E28" t="s">
        <v>7</v>
      </c>
      <c r="F28">
        <v>69460</v>
      </c>
      <c r="G28" s="1">
        <v>45172</v>
      </c>
      <c r="H28">
        <v>135</v>
      </c>
      <c r="I28" t="s">
        <v>401</v>
      </c>
    </row>
    <row r="29" spans="2:9" x14ac:dyDescent="0.25">
      <c r="B29">
        <v>2009048</v>
      </c>
      <c r="C29" t="s">
        <v>126</v>
      </c>
      <c r="D29" t="s">
        <v>231</v>
      </c>
      <c r="E29" t="s">
        <v>7</v>
      </c>
      <c r="F29">
        <v>62100</v>
      </c>
      <c r="G29" s="1">
        <v>45172</v>
      </c>
      <c r="H29">
        <v>135</v>
      </c>
      <c r="I29" t="s">
        <v>401</v>
      </c>
    </row>
    <row r="30" spans="2:9" x14ac:dyDescent="0.25">
      <c r="B30">
        <v>2014130</v>
      </c>
      <c r="C30" t="s">
        <v>122</v>
      </c>
      <c r="D30" t="s">
        <v>76</v>
      </c>
      <c r="E30" t="s">
        <v>10</v>
      </c>
      <c r="F30">
        <v>113499.93</v>
      </c>
      <c r="G30" s="1">
        <v>45230</v>
      </c>
      <c r="H30">
        <v>77</v>
      </c>
      <c r="I30" t="s">
        <v>393</v>
      </c>
    </row>
    <row r="31" spans="2:9" x14ac:dyDescent="0.25">
      <c r="B31">
        <v>2014130</v>
      </c>
      <c r="C31" t="s">
        <v>112</v>
      </c>
      <c r="D31" t="s">
        <v>232</v>
      </c>
      <c r="E31" t="s">
        <v>7</v>
      </c>
      <c r="F31">
        <v>67401.5</v>
      </c>
      <c r="G31" s="1">
        <v>45025</v>
      </c>
      <c r="H31">
        <v>282</v>
      </c>
      <c r="I31" t="s">
        <v>398</v>
      </c>
    </row>
    <row r="32" spans="2:9" x14ac:dyDescent="0.25">
      <c r="B32">
        <v>2014130</v>
      </c>
      <c r="C32" t="s">
        <v>111</v>
      </c>
      <c r="D32" t="s">
        <v>232</v>
      </c>
      <c r="E32" t="s">
        <v>7</v>
      </c>
      <c r="F32">
        <v>67401.5</v>
      </c>
      <c r="G32" s="1">
        <v>45025</v>
      </c>
      <c r="H32">
        <v>282</v>
      </c>
      <c r="I32" t="s">
        <v>398</v>
      </c>
    </row>
    <row r="33" spans="2:9" x14ac:dyDescent="0.25">
      <c r="B33">
        <v>2014130</v>
      </c>
      <c r="C33" t="s">
        <v>75</v>
      </c>
      <c r="D33" t="s">
        <v>76</v>
      </c>
      <c r="E33" t="s">
        <v>7</v>
      </c>
      <c r="F33">
        <v>261050</v>
      </c>
      <c r="G33" s="1">
        <v>44649</v>
      </c>
      <c r="H33">
        <v>658</v>
      </c>
      <c r="I33" t="s">
        <v>406</v>
      </c>
    </row>
    <row r="34" spans="2:9" x14ac:dyDescent="0.25">
      <c r="B34">
        <v>2015300</v>
      </c>
      <c r="C34" t="s">
        <v>81</v>
      </c>
      <c r="D34" t="s">
        <v>233</v>
      </c>
      <c r="E34" t="s">
        <v>7</v>
      </c>
      <c r="F34">
        <v>500000</v>
      </c>
      <c r="G34" s="1">
        <v>44641</v>
      </c>
      <c r="H34">
        <v>666</v>
      </c>
      <c r="I34" t="s">
        <v>406</v>
      </c>
    </row>
    <row r="35" spans="2:9" x14ac:dyDescent="0.25">
      <c r="B35">
        <v>2018460</v>
      </c>
      <c r="C35" t="s">
        <v>71</v>
      </c>
      <c r="D35" t="s">
        <v>72</v>
      </c>
      <c r="E35" t="s">
        <v>7</v>
      </c>
      <c r="F35">
        <v>1517620.5</v>
      </c>
      <c r="G35" s="1">
        <v>44678</v>
      </c>
      <c r="H35">
        <v>629</v>
      </c>
      <c r="I35" t="s">
        <v>406</v>
      </c>
    </row>
    <row r="36" spans="2:9" x14ac:dyDescent="0.25">
      <c r="B36">
        <v>2019785</v>
      </c>
      <c r="C36" t="s">
        <v>131</v>
      </c>
      <c r="D36" t="s">
        <v>132</v>
      </c>
      <c r="E36" t="s">
        <v>7</v>
      </c>
      <c r="F36">
        <v>72450</v>
      </c>
      <c r="G36" s="1">
        <v>45243</v>
      </c>
      <c r="H36">
        <v>64</v>
      </c>
      <c r="I36" t="s">
        <v>581</v>
      </c>
    </row>
    <row r="37" spans="2:9" x14ac:dyDescent="0.25">
      <c r="B37">
        <v>2021222</v>
      </c>
      <c r="C37" t="s">
        <v>110</v>
      </c>
      <c r="D37" t="s">
        <v>234</v>
      </c>
      <c r="E37" t="s">
        <v>7</v>
      </c>
      <c r="F37">
        <v>535118</v>
      </c>
      <c r="G37" s="1">
        <v>45047</v>
      </c>
      <c r="H37">
        <v>260</v>
      </c>
      <c r="I37" t="s">
        <v>399</v>
      </c>
    </row>
  </sheetData>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78427A-98E1-4D2C-BFFA-027B4162FF19}">
  <sheetPr codeName="ESCALATION_DAM"/>
  <dimension ref="A1:L5"/>
  <sheetViews>
    <sheetView showGridLines="0" workbookViewId="0">
      <selection activeCell="I13" sqref="I13"/>
    </sheetView>
  </sheetViews>
  <sheetFormatPr defaultColWidth="0" defaultRowHeight="15" x14ac:dyDescent="0.25"/>
  <cols>
    <col min="1" max="1" width="9.140625" customWidth="1"/>
    <col min="2" max="2" width="10.5703125" bestFit="1" customWidth="1"/>
    <col min="3" max="3" width="16.42578125" bestFit="1" customWidth="1"/>
    <col min="4" max="4" width="23.140625" bestFit="1" customWidth="1"/>
    <col min="5" max="5" width="7.28515625" bestFit="1" customWidth="1"/>
    <col min="6" max="6" width="16.42578125" bestFit="1" customWidth="1"/>
    <col min="7" max="7" width="21.7109375" bestFit="1" customWidth="1"/>
    <col min="8" max="8" width="9.28515625" bestFit="1" customWidth="1"/>
    <col min="9" max="9" width="25.5703125" bestFit="1" customWidth="1"/>
    <col min="10" max="10" width="11.140625" bestFit="1" customWidth="1"/>
    <col min="11" max="11" width="21.7109375" bestFit="1" customWidth="1"/>
    <col min="12" max="12" width="9.28515625" hidden="1" customWidth="1"/>
    <col min="13" max="16384" width="9.140625" hidden="1"/>
  </cols>
  <sheetData>
    <row r="1" spans="2:9" ht="18" x14ac:dyDescent="0.25">
      <c r="D1" s="9" t="s">
        <v>227</v>
      </c>
    </row>
    <row r="4" spans="2:9" x14ac:dyDescent="0.25">
      <c r="B4" t="s">
        <v>1</v>
      </c>
      <c r="C4" t="s">
        <v>0</v>
      </c>
      <c r="D4" t="s">
        <v>2</v>
      </c>
      <c r="E4" t="s">
        <v>3</v>
      </c>
      <c r="F4" t="s">
        <v>4</v>
      </c>
      <c r="G4" t="s">
        <v>5</v>
      </c>
      <c r="H4" t="s">
        <v>141</v>
      </c>
      <c r="I4" t="s">
        <v>392</v>
      </c>
    </row>
    <row r="5" spans="2:9" x14ac:dyDescent="0.25">
      <c r="B5">
        <v>1099841</v>
      </c>
      <c r="C5" t="s">
        <v>142</v>
      </c>
      <c r="D5" t="s">
        <v>143</v>
      </c>
      <c r="E5" t="s">
        <v>7</v>
      </c>
      <c r="F5">
        <v>15767.12</v>
      </c>
      <c r="G5" s="1">
        <v>45217</v>
      </c>
      <c r="H5">
        <v>90</v>
      </c>
      <c r="I5" t="s">
        <v>394</v>
      </c>
    </row>
  </sheetData>
  <pageMargins left="0.7" right="0.7" top="0.75" bottom="0.75" header="0.3" footer="0.3"/>
  <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4B2D54-0AE9-47F4-9637-76243954BE88}">
  <sheetPr codeName="ESCALATION_JED"/>
  <dimension ref="A1:K11"/>
  <sheetViews>
    <sheetView showGridLines="0" workbookViewId="0">
      <selection activeCell="H30" sqref="H30"/>
    </sheetView>
  </sheetViews>
  <sheetFormatPr defaultColWidth="0" defaultRowHeight="15" x14ac:dyDescent="0.25"/>
  <cols>
    <col min="1" max="1" width="9.140625" customWidth="1"/>
    <col min="2" max="2" width="10.5703125" bestFit="1" customWidth="1"/>
    <col min="3" max="3" width="16.42578125" bestFit="1" customWidth="1"/>
    <col min="4" max="4" width="39.85546875" bestFit="1" customWidth="1"/>
    <col min="5" max="5" width="7.28515625" bestFit="1" customWidth="1"/>
    <col min="6" max="6" width="16.42578125" bestFit="1" customWidth="1"/>
    <col min="7" max="7" width="21.7109375" bestFit="1" customWidth="1"/>
    <col min="8" max="8" width="9.28515625" bestFit="1" customWidth="1"/>
    <col min="9" max="9" width="11.140625" bestFit="1" customWidth="1"/>
    <col min="10" max="10" width="21.7109375" bestFit="1" customWidth="1"/>
    <col min="11" max="11" width="9.28515625" bestFit="1" customWidth="1"/>
    <col min="12" max="16384" width="9.140625" hidden="1"/>
  </cols>
  <sheetData>
    <row r="1" spans="2:9" ht="18" x14ac:dyDescent="0.25">
      <c r="D1" s="9" t="s">
        <v>228</v>
      </c>
    </row>
    <row r="4" spans="2:9" x14ac:dyDescent="0.25">
      <c r="B4" t="s">
        <v>1</v>
      </c>
      <c r="C4" t="s">
        <v>0</v>
      </c>
      <c r="D4" t="s">
        <v>2</v>
      </c>
      <c r="E4" t="s">
        <v>3</v>
      </c>
      <c r="F4" t="s">
        <v>4</v>
      </c>
      <c r="G4" t="s">
        <v>5</v>
      </c>
      <c r="H4" t="s">
        <v>141</v>
      </c>
      <c r="I4" t="s">
        <v>184</v>
      </c>
    </row>
    <row r="5" spans="2:9" x14ac:dyDescent="0.25">
      <c r="B5">
        <v>1069802</v>
      </c>
      <c r="C5" t="s">
        <v>167</v>
      </c>
      <c r="D5" t="s">
        <v>168</v>
      </c>
      <c r="E5" t="s">
        <v>7</v>
      </c>
      <c r="F5">
        <v>268668.75</v>
      </c>
      <c r="G5" s="1">
        <v>44896</v>
      </c>
      <c r="H5">
        <v>411</v>
      </c>
    </row>
    <row r="6" spans="2:9" x14ac:dyDescent="0.25">
      <c r="B6">
        <v>1135619</v>
      </c>
      <c r="C6" t="s">
        <v>170</v>
      </c>
      <c r="D6" t="s">
        <v>169</v>
      </c>
      <c r="E6" t="s">
        <v>7</v>
      </c>
      <c r="F6">
        <v>43740.7</v>
      </c>
      <c r="G6" s="1">
        <v>45050</v>
      </c>
      <c r="H6">
        <v>257</v>
      </c>
      <c r="I6">
        <v>5507010</v>
      </c>
    </row>
    <row r="7" spans="2:9" x14ac:dyDescent="0.25">
      <c r="B7">
        <v>1135619</v>
      </c>
      <c r="C7" t="s">
        <v>170</v>
      </c>
      <c r="D7" t="s">
        <v>169</v>
      </c>
      <c r="E7" t="s">
        <v>7</v>
      </c>
      <c r="F7">
        <v>43740.7</v>
      </c>
      <c r="G7" s="1">
        <v>45050</v>
      </c>
      <c r="H7">
        <v>257</v>
      </c>
      <c r="I7">
        <v>5507010</v>
      </c>
    </row>
    <row r="8" spans="2:9" x14ac:dyDescent="0.25">
      <c r="B8">
        <v>2018648</v>
      </c>
      <c r="C8" t="s">
        <v>151</v>
      </c>
      <c r="D8" t="s">
        <v>150</v>
      </c>
      <c r="E8" t="s">
        <v>7</v>
      </c>
      <c r="F8">
        <v>466414.47</v>
      </c>
      <c r="G8" s="1">
        <v>45238</v>
      </c>
      <c r="H8">
        <v>69</v>
      </c>
      <c r="I8">
        <v>5707050</v>
      </c>
    </row>
    <row r="9" spans="2:9" x14ac:dyDescent="0.25">
      <c r="B9">
        <v>2018648</v>
      </c>
      <c r="C9" t="s">
        <v>151</v>
      </c>
      <c r="D9" t="s">
        <v>150</v>
      </c>
      <c r="E9" t="s">
        <v>7</v>
      </c>
      <c r="F9">
        <v>466414.47</v>
      </c>
      <c r="G9" s="1">
        <v>45238</v>
      </c>
      <c r="H9">
        <v>69</v>
      </c>
      <c r="I9">
        <v>5707050</v>
      </c>
    </row>
    <row r="10" spans="2:9" x14ac:dyDescent="0.25">
      <c r="B10">
        <v>2018648</v>
      </c>
      <c r="C10" t="s">
        <v>152</v>
      </c>
      <c r="D10" t="s">
        <v>150</v>
      </c>
      <c r="E10" t="s">
        <v>7</v>
      </c>
      <c r="F10">
        <v>177121.08</v>
      </c>
      <c r="G10" s="1">
        <v>45238</v>
      </c>
      <c r="H10">
        <v>69</v>
      </c>
      <c r="I10">
        <v>5801029</v>
      </c>
    </row>
    <row r="11" spans="2:9" x14ac:dyDescent="0.25">
      <c r="B11">
        <v>2018648</v>
      </c>
      <c r="C11" t="s">
        <v>152</v>
      </c>
      <c r="D11" t="s">
        <v>150</v>
      </c>
      <c r="E11" t="s">
        <v>7</v>
      </c>
      <c r="F11">
        <v>177121.08</v>
      </c>
      <c r="G11" s="1">
        <v>45238</v>
      </c>
      <c r="H11">
        <v>69</v>
      </c>
      <c r="I11">
        <v>5801029</v>
      </c>
    </row>
  </sheetData>
  <pageMargins left="0.7" right="0.7" top="0.75" bottom="0.75" header="0.3" footer="0.3"/>
  <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5BC149-5502-4D98-89D7-440F67E83486}">
  <sheetPr codeName="All_Super_Escalation"/>
  <dimension ref="A1:K66"/>
  <sheetViews>
    <sheetView showGridLines="0" zoomScaleNormal="100" workbookViewId="0"/>
  </sheetViews>
  <sheetFormatPr defaultColWidth="0" defaultRowHeight="15" x14ac:dyDescent="0.25"/>
  <cols>
    <col min="1" max="1" width="9.140625" customWidth="1"/>
    <col min="2" max="2" width="10.5703125" bestFit="1" customWidth="1"/>
    <col min="3" max="3" width="16.42578125" bestFit="1" customWidth="1"/>
    <col min="4" max="4" width="53.42578125" bestFit="1" customWidth="1"/>
    <col min="5" max="5" width="7.28515625" bestFit="1" customWidth="1"/>
    <col min="6" max="6" width="16.42578125" bestFit="1" customWidth="1"/>
    <col min="7" max="7" width="21.7109375" bestFit="1" customWidth="1"/>
    <col min="8" max="8" width="9.28515625" bestFit="1" customWidth="1"/>
    <col min="9" max="9" width="13.28515625" bestFit="1" customWidth="1"/>
    <col min="10" max="10" width="25.5703125" customWidth="1"/>
    <col min="11" max="11" width="9.140625" customWidth="1"/>
    <col min="12" max="16384" width="9.140625" hidden="1"/>
  </cols>
  <sheetData>
    <row r="1" spans="2:10" ht="18" x14ac:dyDescent="0.25">
      <c r="D1" s="9" t="s">
        <v>240</v>
      </c>
    </row>
    <row r="4" spans="2:10" x14ac:dyDescent="0.25">
      <c r="B4" t="s">
        <v>1</v>
      </c>
      <c r="C4" t="s">
        <v>0</v>
      </c>
      <c r="D4" t="s">
        <v>2</v>
      </c>
      <c r="E4" t="s">
        <v>3</v>
      </c>
      <c r="F4" t="s">
        <v>4</v>
      </c>
      <c r="G4" t="s">
        <v>5</v>
      </c>
      <c r="H4" t="s">
        <v>141</v>
      </c>
      <c r="I4" t="s">
        <v>404</v>
      </c>
      <c r="J4" t="s">
        <v>395</v>
      </c>
    </row>
    <row r="5" spans="2:10" x14ac:dyDescent="0.25">
      <c r="B5">
        <v>1099841</v>
      </c>
      <c r="C5" t="s">
        <v>142</v>
      </c>
      <c r="D5" t="s">
        <v>143</v>
      </c>
      <c r="E5" t="s">
        <v>7</v>
      </c>
      <c r="F5">
        <v>15767.12</v>
      </c>
      <c r="G5" s="1">
        <v>45217</v>
      </c>
      <c r="H5">
        <v>90</v>
      </c>
      <c r="I5">
        <v>6003026</v>
      </c>
      <c r="J5" t="s">
        <v>394</v>
      </c>
    </row>
    <row r="6" spans="2:10" x14ac:dyDescent="0.25">
      <c r="B6">
        <v>1069802</v>
      </c>
      <c r="C6" t="s">
        <v>167</v>
      </c>
      <c r="D6" t="s">
        <v>168</v>
      </c>
      <c r="E6" t="s">
        <v>7</v>
      </c>
      <c r="F6">
        <v>268668.75</v>
      </c>
      <c r="G6" s="1">
        <v>44896</v>
      </c>
      <c r="H6">
        <v>411</v>
      </c>
    </row>
    <row r="7" spans="2:10" x14ac:dyDescent="0.25">
      <c r="B7">
        <v>2020661</v>
      </c>
      <c r="C7" t="s">
        <v>171</v>
      </c>
      <c r="D7" t="s">
        <v>172</v>
      </c>
      <c r="E7" t="s">
        <v>21</v>
      </c>
      <c r="F7">
        <v>108500</v>
      </c>
      <c r="G7" s="1"/>
    </row>
    <row r="8" spans="2:10" x14ac:dyDescent="0.25">
      <c r="B8">
        <v>1135619</v>
      </c>
      <c r="C8" t="s">
        <v>170</v>
      </c>
      <c r="D8" t="s">
        <v>169</v>
      </c>
      <c r="E8" t="s">
        <v>7</v>
      </c>
      <c r="F8">
        <v>43740.7</v>
      </c>
      <c r="G8" s="1">
        <v>45050</v>
      </c>
      <c r="H8">
        <v>257</v>
      </c>
      <c r="I8">
        <v>5507010</v>
      </c>
      <c r="J8" t="s">
        <v>402</v>
      </c>
    </row>
    <row r="9" spans="2:10" x14ac:dyDescent="0.25">
      <c r="B9">
        <v>1170546</v>
      </c>
      <c r="C9" t="s">
        <v>300</v>
      </c>
      <c r="D9" t="s">
        <v>301</v>
      </c>
      <c r="E9" t="s">
        <v>21</v>
      </c>
      <c r="F9">
        <v>83081.960000000006</v>
      </c>
      <c r="G9" s="1"/>
      <c r="I9">
        <v>5707050</v>
      </c>
      <c r="J9" t="s">
        <v>440</v>
      </c>
    </row>
    <row r="10" spans="2:10" x14ac:dyDescent="0.25">
      <c r="B10">
        <v>1145533</v>
      </c>
      <c r="C10" t="s">
        <v>294</v>
      </c>
      <c r="D10" t="s">
        <v>295</v>
      </c>
      <c r="E10" t="s">
        <v>104</v>
      </c>
      <c r="F10">
        <v>329092</v>
      </c>
      <c r="G10" s="1"/>
      <c r="I10">
        <v>5707050</v>
      </c>
      <c r="J10" t="s">
        <v>440</v>
      </c>
    </row>
    <row r="11" spans="2:10" x14ac:dyDescent="0.25">
      <c r="B11">
        <v>1136461</v>
      </c>
      <c r="C11" t="s">
        <v>292</v>
      </c>
      <c r="D11" t="s">
        <v>293</v>
      </c>
      <c r="E11" t="s">
        <v>21</v>
      </c>
      <c r="F11">
        <v>78236.34</v>
      </c>
      <c r="G11" s="1"/>
      <c r="I11">
        <v>5801029</v>
      </c>
      <c r="J11" t="s">
        <v>561</v>
      </c>
    </row>
    <row r="12" spans="2:10" x14ac:dyDescent="0.25">
      <c r="B12">
        <v>1060759</v>
      </c>
      <c r="C12" t="s">
        <v>8</v>
      </c>
      <c r="D12" t="s">
        <v>9</v>
      </c>
      <c r="E12" t="s">
        <v>10</v>
      </c>
      <c r="F12">
        <v>221581.58</v>
      </c>
      <c r="G12" s="1"/>
    </row>
    <row r="13" spans="2:10" x14ac:dyDescent="0.25">
      <c r="B13">
        <v>2012618</v>
      </c>
      <c r="C13" t="s">
        <v>11</v>
      </c>
      <c r="D13" t="s">
        <v>12</v>
      </c>
      <c r="E13" t="s">
        <v>7</v>
      </c>
      <c r="F13">
        <v>133000</v>
      </c>
      <c r="G13" s="1"/>
    </row>
    <row r="14" spans="2:10" x14ac:dyDescent="0.25">
      <c r="B14">
        <v>1033948</v>
      </c>
      <c r="C14" t="s">
        <v>13</v>
      </c>
      <c r="D14" t="s">
        <v>14</v>
      </c>
      <c r="E14" t="s">
        <v>7</v>
      </c>
      <c r="F14">
        <v>120000</v>
      </c>
      <c r="G14" s="1"/>
    </row>
    <row r="15" spans="2:10" x14ac:dyDescent="0.25">
      <c r="B15">
        <v>1004611</v>
      </c>
      <c r="C15" t="s">
        <v>17</v>
      </c>
      <c r="D15" t="s">
        <v>18</v>
      </c>
      <c r="E15" t="s">
        <v>7</v>
      </c>
      <c r="F15">
        <v>323977.5</v>
      </c>
      <c r="G15" s="1"/>
    </row>
    <row r="16" spans="2:10" x14ac:dyDescent="0.25">
      <c r="B16">
        <v>2012940</v>
      </c>
      <c r="C16" t="s">
        <v>19</v>
      </c>
      <c r="D16" t="s">
        <v>20</v>
      </c>
      <c r="E16" t="s">
        <v>21</v>
      </c>
      <c r="F16">
        <v>34850</v>
      </c>
      <c r="G16" s="1"/>
    </row>
    <row r="17" spans="2:8" x14ac:dyDescent="0.25">
      <c r="B17">
        <v>1017454</v>
      </c>
      <c r="C17" t="s">
        <v>22</v>
      </c>
      <c r="D17" t="s">
        <v>23</v>
      </c>
      <c r="E17" t="s">
        <v>21</v>
      </c>
      <c r="F17">
        <v>293700</v>
      </c>
      <c r="G17" s="1"/>
    </row>
    <row r="18" spans="2:8" x14ac:dyDescent="0.25">
      <c r="B18">
        <v>1017497</v>
      </c>
      <c r="C18" t="s">
        <v>24</v>
      </c>
      <c r="D18" t="s">
        <v>6</v>
      </c>
      <c r="E18" t="s">
        <v>7</v>
      </c>
      <c r="F18">
        <v>250000</v>
      </c>
      <c r="G18" s="1">
        <v>44990</v>
      </c>
      <c r="H18">
        <v>317</v>
      </c>
    </row>
    <row r="19" spans="2:8" x14ac:dyDescent="0.25">
      <c r="B19">
        <v>1002511</v>
      </c>
      <c r="C19" t="s">
        <v>25</v>
      </c>
      <c r="D19" t="s">
        <v>26</v>
      </c>
      <c r="E19" t="s">
        <v>21</v>
      </c>
      <c r="F19">
        <v>34566.300000000003</v>
      </c>
      <c r="G19" s="1"/>
    </row>
    <row r="20" spans="2:8" x14ac:dyDescent="0.25">
      <c r="B20">
        <v>1055976</v>
      </c>
      <c r="C20" t="s">
        <v>27</v>
      </c>
      <c r="D20" t="s">
        <v>28</v>
      </c>
      <c r="E20" t="s">
        <v>21</v>
      </c>
      <c r="F20">
        <v>12048</v>
      </c>
      <c r="G20" s="1"/>
    </row>
    <row r="21" spans="2:8" x14ac:dyDescent="0.25">
      <c r="B21">
        <v>1056158</v>
      </c>
      <c r="C21" t="s">
        <v>29</v>
      </c>
      <c r="D21" t="s">
        <v>30</v>
      </c>
      <c r="E21" t="s">
        <v>21</v>
      </c>
      <c r="F21">
        <v>32775</v>
      </c>
      <c r="G21" s="1"/>
    </row>
    <row r="22" spans="2:8" x14ac:dyDescent="0.25">
      <c r="B22">
        <v>2007283</v>
      </c>
      <c r="C22" t="s">
        <v>31</v>
      </c>
      <c r="D22" t="s">
        <v>32</v>
      </c>
      <c r="E22" t="s">
        <v>7</v>
      </c>
      <c r="F22">
        <v>486321.29</v>
      </c>
      <c r="G22" s="1"/>
    </row>
    <row r="23" spans="2:8" x14ac:dyDescent="0.25">
      <c r="B23">
        <v>1003836</v>
      </c>
      <c r="C23" t="s">
        <v>33</v>
      </c>
      <c r="D23" t="s">
        <v>34</v>
      </c>
      <c r="E23" t="s">
        <v>21</v>
      </c>
      <c r="F23">
        <v>95329.75</v>
      </c>
      <c r="G23" s="1"/>
    </row>
    <row r="24" spans="2:8" x14ac:dyDescent="0.25">
      <c r="B24">
        <v>1056158</v>
      </c>
      <c r="C24" t="s">
        <v>35</v>
      </c>
      <c r="D24" t="s">
        <v>30</v>
      </c>
      <c r="E24" t="s">
        <v>7</v>
      </c>
      <c r="F24">
        <v>98189.49</v>
      </c>
      <c r="G24" s="1"/>
    </row>
    <row r="25" spans="2:8" x14ac:dyDescent="0.25">
      <c r="B25">
        <v>2014276</v>
      </c>
      <c r="C25" t="s">
        <v>36</v>
      </c>
      <c r="D25" t="s">
        <v>37</v>
      </c>
      <c r="E25" t="s">
        <v>7</v>
      </c>
      <c r="F25">
        <v>110240</v>
      </c>
      <c r="G25" s="1"/>
    </row>
    <row r="26" spans="2:8" x14ac:dyDescent="0.25">
      <c r="B26">
        <v>1067532</v>
      </c>
      <c r="C26" t="s">
        <v>38</v>
      </c>
      <c r="D26" t="s">
        <v>39</v>
      </c>
      <c r="E26" t="s">
        <v>7</v>
      </c>
      <c r="F26">
        <v>250000</v>
      </c>
      <c r="G26" s="1"/>
    </row>
    <row r="27" spans="2:8" x14ac:dyDescent="0.25">
      <c r="B27">
        <v>2015159</v>
      </c>
      <c r="C27" t="s">
        <v>40</v>
      </c>
      <c r="D27" t="s">
        <v>41</v>
      </c>
      <c r="E27" t="s">
        <v>7</v>
      </c>
      <c r="F27">
        <v>2820039.5</v>
      </c>
      <c r="G27" s="1"/>
    </row>
    <row r="28" spans="2:8" x14ac:dyDescent="0.25">
      <c r="B28">
        <v>2002452</v>
      </c>
      <c r="C28" t="s">
        <v>42</v>
      </c>
      <c r="D28" t="s">
        <v>43</v>
      </c>
      <c r="E28" t="s">
        <v>7</v>
      </c>
      <c r="F28">
        <v>915946.92</v>
      </c>
      <c r="G28" s="1"/>
    </row>
    <row r="29" spans="2:8" x14ac:dyDescent="0.25">
      <c r="B29">
        <v>1005588</v>
      </c>
      <c r="C29" t="s">
        <v>44</v>
      </c>
      <c r="D29" t="s">
        <v>45</v>
      </c>
      <c r="E29" t="s">
        <v>7</v>
      </c>
      <c r="F29">
        <v>330000</v>
      </c>
      <c r="G29" s="1"/>
    </row>
    <row r="30" spans="2:8" x14ac:dyDescent="0.25">
      <c r="B30">
        <v>1080997</v>
      </c>
      <c r="C30" t="s">
        <v>46</v>
      </c>
      <c r="D30" t="s">
        <v>47</v>
      </c>
      <c r="E30" t="s">
        <v>7</v>
      </c>
      <c r="F30">
        <v>300000</v>
      </c>
      <c r="G30" s="1"/>
    </row>
    <row r="31" spans="2:8" x14ac:dyDescent="0.25">
      <c r="B31">
        <v>1070002</v>
      </c>
      <c r="C31" t="s">
        <v>48</v>
      </c>
      <c r="D31" t="s">
        <v>49</v>
      </c>
      <c r="E31" t="s">
        <v>7</v>
      </c>
      <c r="F31">
        <v>39480</v>
      </c>
      <c r="G31" s="1"/>
    </row>
    <row r="32" spans="2:8" x14ac:dyDescent="0.25">
      <c r="B32">
        <v>1070002</v>
      </c>
      <c r="C32" t="s">
        <v>50</v>
      </c>
      <c r="D32" t="s">
        <v>49</v>
      </c>
      <c r="E32" t="s">
        <v>7</v>
      </c>
      <c r="F32">
        <v>31346</v>
      </c>
      <c r="G32" s="1"/>
    </row>
    <row r="33" spans="2:8" x14ac:dyDescent="0.25">
      <c r="B33">
        <v>1036505</v>
      </c>
      <c r="C33" t="s">
        <v>51</v>
      </c>
      <c r="D33" t="s">
        <v>52</v>
      </c>
      <c r="E33" t="s">
        <v>7</v>
      </c>
      <c r="F33">
        <v>323039.03999999998</v>
      </c>
      <c r="G33" s="1"/>
    </row>
    <row r="34" spans="2:8" x14ac:dyDescent="0.25">
      <c r="B34">
        <v>1036505</v>
      </c>
      <c r="C34" t="s">
        <v>53</v>
      </c>
      <c r="D34" t="s">
        <v>52</v>
      </c>
      <c r="E34" t="s">
        <v>7</v>
      </c>
      <c r="F34">
        <v>379426.76</v>
      </c>
      <c r="G34" s="1"/>
    </row>
    <row r="35" spans="2:8" x14ac:dyDescent="0.25">
      <c r="B35">
        <v>1033301</v>
      </c>
      <c r="C35" t="s">
        <v>54</v>
      </c>
      <c r="D35" t="s">
        <v>55</v>
      </c>
      <c r="E35" t="s">
        <v>7</v>
      </c>
      <c r="F35">
        <v>2955263.04</v>
      </c>
      <c r="G35" s="1"/>
    </row>
    <row r="36" spans="2:8" x14ac:dyDescent="0.25">
      <c r="B36">
        <v>2015984</v>
      </c>
      <c r="C36" t="s">
        <v>56</v>
      </c>
      <c r="D36" t="s">
        <v>57</v>
      </c>
      <c r="E36" t="s">
        <v>7</v>
      </c>
      <c r="F36">
        <v>112133.97</v>
      </c>
      <c r="G36" s="1"/>
    </row>
    <row r="37" spans="2:8" x14ac:dyDescent="0.25">
      <c r="B37">
        <v>1067532</v>
      </c>
      <c r="C37" t="s">
        <v>58</v>
      </c>
      <c r="D37" t="s">
        <v>59</v>
      </c>
      <c r="E37" t="s">
        <v>7</v>
      </c>
      <c r="F37">
        <v>200000</v>
      </c>
      <c r="G37" s="1">
        <v>44852</v>
      </c>
      <c r="H37">
        <v>455</v>
      </c>
    </row>
    <row r="38" spans="2:8" x14ac:dyDescent="0.25">
      <c r="B38">
        <v>2009039</v>
      </c>
      <c r="C38" t="s">
        <v>60</v>
      </c>
      <c r="D38" t="s">
        <v>61</v>
      </c>
      <c r="E38" t="s">
        <v>7</v>
      </c>
      <c r="F38">
        <v>2500000</v>
      </c>
      <c r="G38" s="1"/>
    </row>
    <row r="39" spans="2:8" x14ac:dyDescent="0.25">
      <c r="B39">
        <v>2014800</v>
      </c>
      <c r="C39" t="s">
        <v>62</v>
      </c>
      <c r="D39" t="s">
        <v>63</v>
      </c>
      <c r="E39" t="s">
        <v>21</v>
      </c>
      <c r="F39">
        <v>99000</v>
      </c>
      <c r="G39" s="1"/>
    </row>
    <row r="40" spans="2:8" x14ac:dyDescent="0.25">
      <c r="B40">
        <v>2006464</v>
      </c>
      <c r="C40" t="s">
        <v>64</v>
      </c>
      <c r="D40" t="s">
        <v>65</v>
      </c>
      <c r="E40" t="s">
        <v>21</v>
      </c>
      <c r="F40">
        <v>335200</v>
      </c>
      <c r="G40" s="1"/>
    </row>
    <row r="41" spans="2:8" x14ac:dyDescent="0.25">
      <c r="B41">
        <v>2007283</v>
      </c>
      <c r="C41" t="s">
        <v>66</v>
      </c>
      <c r="D41" t="s">
        <v>32</v>
      </c>
      <c r="E41" t="s">
        <v>7</v>
      </c>
      <c r="F41">
        <v>292721</v>
      </c>
      <c r="G41" s="1">
        <v>44692</v>
      </c>
      <c r="H41">
        <v>615</v>
      </c>
    </row>
    <row r="42" spans="2:8" x14ac:dyDescent="0.25">
      <c r="B42">
        <v>1002511</v>
      </c>
      <c r="C42" t="s">
        <v>67</v>
      </c>
      <c r="D42" t="s">
        <v>68</v>
      </c>
      <c r="E42" t="s">
        <v>21</v>
      </c>
      <c r="F42">
        <v>274560</v>
      </c>
      <c r="G42" s="1"/>
    </row>
    <row r="43" spans="2:8" x14ac:dyDescent="0.25">
      <c r="B43">
        <v>2018460</v>
      </c>
      <c r="C43" t="s">
        <v>71</v>
      </c>
      <c r="D43" t="s">
        <v>72</v>
      </c>
      <c r="E43" t="s">
        <v>7</v>
      </c>
      <c r="F43">
        <v>1517620.5</v>
      </c>
      <c r="G43" s="1">
        <v>44678</v>
      </c>
      <c r="H43">
        <v>629</v>
      </c>
    </row>
    <row r="44" spans="2:8" x14ac:dyDescent="0.25">
      <c r="B44">
        <v>1003488</v>
      </c>
      <c r="C44" t="s">
        <v>73</v>
      </c>
      <c r="D44" t="s">
        <v>74</v>
      </c>
      <c r="E44" t="s">
        <v>21</v>
      </c>
      <c r="F44">
        <v>198049.32</v>
      </c>
      <c r="G44" s="1">
        <v>44648</v>
      </c>
      <c r="H44">
        <v>659</v>
      </c>
    </row>
    <row r="45" spans="2:8" x14ac:dyDescent="0.25">
      <c r="B45">
        <v>2014130</v>
      </c>
      <c r="C45" t="s">
        <v>75</v>
      </c>
      <c r="D45" t="s">
        <v>76</v>
      </c>
      <c r="E45" t="s">
        <v>7</v>
      </c>
      <c r="F45">
        <v>261050</v>
      </c>
      <c r="G45" s="1">
        <v>44649</v>
      </c>
      <c r="H45">
        <v>658</v>
      </c>
    </row>
    <row r="46" spans="2:8" x14ac:dyDescent="0.25">
      <c r="B46">
        <v>1088788</v>
      </c>
      <c r="C46" t="s">
        <v>79</v>
      </c>
      <c r="D46" t="s">
        <v>80</v>
      </c>
      <c r="E46" t="s">
        <v>7</v>
      </c>
      <c r="F46">
        <v>200888.28</v>
      </c>
      <c r="G46" s="1">
        <v>44864</v>
      </c>
      <c r="H46">
        <v>443</v>
      </c>
    </row>
    <row r="47" spans="2:8" x14ac:dyDescent="0.25">
      <c r="B47">
        <v>2015300</v>
      </c>
      <c r="C47" t="s">
        <v>81</v>
      </c>
      <c r="D47" t="s">
        <v>233</v>
      </c>
      <c r="E47" t="s">
        <v>7</v>
      </c>
      <c r="F47">
        <v>500000</v>
      </c>
      <c r="G47" s="1">
        <v>44641</v>
      </c>
      <c r="H47">
        <v>666</v>
      </c>
    </row>
    <row r="48" spans="2:8" x14ac:dyDescent="0.25">
      <c r="B48">
        <v>1002635</v>
      </c>
      <c r="C48" t="s">
        <v>82</v>
      </c>
      <c r="D48" t="s">
        <v>83</v>
      </c>
      <c r="E48" t="s">
        <v>7</v>
      </c>
      <c r="F48">
        <v>179000</v>
      </c>
      <c r="G48" s="1">
        <v>44704</v>
      </c>
      <c r="H48">
        <v>603</v>
      </c>
    </row>
    <row r="49" spans="2:8" x14ac:dyDescent="0.25">
      <c r="B49">
        <v>1060759</v>
      </c>
      <c r="C49" t="s">
        <v>84</v>
      </c>
      <c r="D49" t="s">
        <v>85</v>
      </c>
      <c r="E49" t="s">
        <v>21</v>
      </c>
      <c r="F49">
        <v>38524.449999999997</v>
      </c>
      <c r="G49" s="1">
        <v>44838</v>
      </c>
      <c r="H49">
        <v>469</v>
      </c>
    </row>
    <row r="50" spans="2:8" x14ac:dyDescent="0.25">
      <c r="B50">
        <v>1006835</v>
      </c>
      <c r="C50" t="s">
        <v>86</v>
      </c>
      <c r="D50" t="s">
        <v>87</v>
      </c>
      <c r="E50" t="s">
        <v>21</v>
      </c>
      <c r="F50">
        <v>161843.16</v>
      </c>
      <c r="G50" s="1">
        <v>44830</v>
      </c>
      <c r="H50">
        <v>477</v>
      </c>
    </row>
    <row r="51" spans="2:8" x14ac:dyDescent="0.25">
      <c r="B51">
        <v>1088708</v>
      </c>
      <c r="C51" t="s">
        <v>88</v>
      </c>
      <c r="D51" t="s">
        <v>89</v>
      </c>
      <c r="E51" t="s">
        <v>7</v>
      </c>
      <c r="F51">
        <v>458019</v>
      </c>
      <c r="G51" s="1">
        <v>44678</v>
      </c>
      <c r="H51">
        <v>629</v>
      </c>
    </row>
    <row r="52" spans="2:8" x14ac:dyDescent="0.25">
      <c r="B52">
        <v>1006835</v>
      </c>
      <c r="C52" t="s">
        <v>90</v>
      </c>
      <c r="D52" t="s">
        <v>91</v>
      </c>
      <c r="E52" t="s">
        <v>21</v>
      </c>
      <c r="F52">
        <v>84684</v>
      </c>
      <c r="G52" s="1"/>
    </row>
    <row r="53" spans="2:8" x14ac:dyDescent="0.25">
      <c r="B53">
        <v>1017594</v>
      </c>
      <c r="C53" t="s">
        <v>92</v>
      </c>
      <c r="D53" t="s">
        <v>93</v>
      </c>
      <c r="E53" t="s">
        <v>7</v>
      </c>
      <c r="F53">
        <v>380060.36</v>
      </c>
      <c r="G53" s="1">
        <v>45001</v>
      </c>
      <c r="H53">
        <v>306</v>
      </c>
    </row>
    <row r="54" spans="2:8" x14ac:dyDescent="0.25">
      <c r="B54">
        <v>1092243</v>
      </c>
      <c r="C54" t="s">
        <v>95</v>
      </c>
      <c r="D54" t="s">
        <v>96</v>
      </c>
      <c r="E54" t="s">
        <v>7</v>
      </c>
      <c r="F54">
        <v>213788.51</v>
      </c>
      <c r="G54" s="1">
        <v>44896</v>
      </c>
      <c r="H54">
        <v>411</v>
      </c>
    </row>
    <row r="55" spans="2:8" x14ac:dyDescent="0.25">
      <c r="B55">
        <v>2003973</v>
      </c>
      <c r="C55" t="s">
        <v>97</v>
      </c>
      <c r="D55" t="s">
        <v>230</v>
      </c>
      <c r="E55" t="s">
        <v>7</v>
      </c>
      <c r="F55">
        <v>150000</v>
      </c>
      <c r="G55" s="1">
        <v>44836</v>
      </c>
      <c r="H55">
        <v>471</v>
      </c>
    </row>
    <row r="56" spans="2:8" x14ac:dyDescent="0.25">
      <c r="B56">
        <v>1083384</v>
      </c>
      <c r="C56" t="s">
        <v>98</v>
      </c>
      <c r="D56" t="s">
        <v>99</v>
      </c>
      <c r="E56" t="s">
        <v>7</v>
      </c>
      <c r="F56">
        <v>1070650</v>
      </c>
      <c r="G56" s="1">
        <v>44935</v>
      </c>
      <c r="H56">
        <v>372</v>
      </c>
    </row>
    <row r="57" spans="2:8" x14ac:dyDescent="0.25">
      <c r="B57">
        <v>1067532</v>
      </c>
      <c r="C57" t="s">
        <v>100</v>
      </c>
      <c r="D57" t="s">
        <v>101</v>
      </c>
      <c r="E57" t="s">
        <v>7</v>
      </c>
      <c r="F57">
        <v>50000</v>
      </c>
      <c r="G57" s="1">
        <v>44923</v>
      </c>
      <c r="H57">
        <v>384</v>
      </c>
    </row>
    <row r="58" spans="2:8" x14ac:dyDescent="0.25">
      <c r="B58">
        <v>1007831</v>
      </c>
      <c r="C58" t="s">
        <v>102</v>
      </c>
      <c r="D58" t="s">
        <v>103</v>
      </c>
      <c r="E58" t="s">
        <v>104</v>
      </c>
      <c r="F58">
        <v>56124.09</v>
      </c>
      <c r="G58" s="1">
        <v>44965</v>
      </c>
      <c r="H58">
        <v>342</v>
      </c>
    </row>
    <row r="59" spans="2:8" x14ac:dyDescent="0.25">
      <c r="B59">
        <v>2021222</v>
      </c>
      <c r="C59" t="s">
        <v>110</v>
      </c>
      <c r="D59" t="s">
        <v>234</v>
      </c>
      <c r="E59" t="s">
        <v>7</v>
      </c>
      <c r="F59">
        <v>535118</v>
      </c>
      <c r="G59" s="1">
        <v>45047</v>
      </c>
      <c r="H59">
        <v>260</v>
      </c>
    </row>
    <row r="60" spans="2:8" x14ac:dyDescent="0.25">
      <c r="B60">
        <v>2014130</v>
      </c>
      <c r="C60" t="s">
        <v>111</v>
      </c>
      <c r="D60" t="s">
        <v>232</v>
      </c>
      <c r="E60" t="s">
        <v>7</v>
      </c>
      <c r="F60">
        <v>67401.5</v>
      </c>
      <c r="G60" s="1">
        <v>45025</v>
      </c>
      <c r="H60">
        <v>282</v>
      </c>
    </row>
    <row r="61" spans="2:8" x14ac:dyDescent="0.25">
      <c r="B61">
        <v>2014130</v>
      </c>
      <c r="C61" t="s">
        <v>112</v>
      </c>
      <c r="D61" t="s">
        <v>232</v>
      </c>
      <c r="E61" t="s">
        <v>7</v>
      </c>
      <c r="F61">
        <v>67401.5</v>
      </c>
      <c r="G61" s="1">
        <v>45025</v>
      </c>
      <c r="H61">
        <v>282</v>
      </c>
    </row>
    <row r="62" spans="2:8" x14ac:dyDescent="0.25">
      <c r="B62">
        <v>1057995</v>
      </c>
      <c r="C62" t="s">
        <v>113</v>
      </c>
      <c r="D62" t="s">
        <v>114</v>
      </c>
      <c r="E62" t="s">
        <v>7</v>
      </c>
      <c r="F62">
        <v>180000</v>
      </c>
      <c r="G62" s="1">
        <v>45006</v>
      </c>
      <c r="H62">
        <v>301</v>
      </c>
    </row>
    <row r="63" spans="2:8" x14ac:dyDescent="0.25">
      <c r="B63">
        <v>1088708</v>
      </c>
      <c r="C63" t="s">
        <v>115</v>
      </c>
      <c r="D63" t="s">
        <v>229</v>
      </c>
      <c r="E63" t="s">
        <v>7</v>
      </c>
      <c r="F63">
        <v>144095</v>
      </c>
      <c r="G63" s="1">
        <v>44996</v>
      </c>
      <c r="H63">
        <v>311</v>
      </c>
    </row>
    <row r="64" spans="2:8" x14ac:dyDescent="0.25">
      <c r="B64">
        <v>2014130</v>
      </c>
      <c r="C64" t="s">
        <v>122</v>
      </c>
      <c r="D64" t="s">
        <v>76</v>
      </c>
      <c r="E64" t="s">
        <v>10</v>
      </c>
      <c r="F64">
        <v>113499.93</v>
      </c>
      <c r="G64" s="1">
        <v>45230</v>
      </c>
      <c r="H64">
        <v>77</v>
      </c>
    </row>
    <row r="65" spans="2:8" x14ac:dyDescent="0.25">
      <c r="B65">
        <v>2009048</v>
      </c>
      <c r="C65" t="s">
        <v>126</v>
      </c>
      <c r="D65" t="s">
        <v>231</v>
      </c>
      <c r="E65" t="s">
        <v>7</v>
      </c>
      <c r="F65">
        <v>62100</v>
      </c>
      <c r="G65" s="1">
        <v>45172</v>
      </c>
      <c r="H65">
        <v>135</v>
      </c>
    </row>
    <row r="66" spans="2:8" x14ac:dyDescent="0.25">
      <c r="B66">
        <v>2009048</v>
      </c>
      <c r="C66" t="s">
        <v>127</v>
      </c>
      <c r="D66" t="s">
        <v>231</v>
      </c>
      <c r="E66" t="s">
        <v>7</v>
      </c>
      <c r="F66">
        <v>69460</v>
      </c>
      <c r="G66" s="1">
        <v>45172</v>
      </c>
      <c r="H66">
        <v>135</v>
      </c>
    </row>
  </sheetData>
  <pageMargins left="0.7" right="0.7" top="0.75" bottom="0.75" header="0.3" footer="0.3"/>
  <drawing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DDC50E-339D-49E5-97F5-248414FF047F}">
  <sheetPr codeName="SUPER_ESC_RIY"/>
  <dimension ref="A1:L59"/>
  <sheetViews>
    <sheetView showGridLines="0" workbookViewId="0">
      <selection activeCell="B4" sqref="B4:J59"/>
    </sheetView>
  </sheetViews>
  <sheetFormatPr defaultColWidth="0" defaultRowHeight="15" x14ac:dyDescent="0.25"/>
  <cols>
    <col min="1" max="1" width="9.140625" customWidth="1"/>
    <col min="2" max="2" width="10.5703125" bestFit="1" customWidth="1"/>
    <col min="3" max="3" width="16.42578125" bestFit="1" customWidth="1"/>
    <col min="4" max="4" width="53.42578125" bestFit="1" customWidth="1"/>
    <col min="5" max="5" width="7.28515625" bestFit="1" customWidth="1"/>
    <col min="6" max="6" width="16.42578125" bestFit="1" customWidth="1"/>
    <col min="7" max="7" width="21.7109375" bestFit="1" customWidth="1"/>
    <col min="8" max="8" width="9.28515625" bestFit="1" customWidth="1"/>
    <col min="9" max="9" width="13.7109375" bestFit="1" customWidth="1"/>
    <col min="10" max="10" width="23.5703125" bestFit="1" customWidth="1"/>
    <col min="11" max="11" width="21.7109375" bestFit="1" customWidth="1"/>
    <col min="12" max="12" width="9.28515625" bestFit="1" customWidth="1"/>
    <col min="13" max="16384" width="9.140625" hidden="1"/>
  </cols>
  <sheetData>
    <row r="1" spans="2:10" ht="18" x14ac:dyDescent="0.25">
      <c r="D1" s="9" t="s">
        <v>235</v>
      </c>
    </row>
    <row r="4" spans="2:10" x14ac:dyDescent="0.25">
      <c r="B4" t="s">
        <v>1</v>
      </c>
      <c r="C4" t="s">
        <v>0</v>
      </c>
      <c r="D4" t="s">
        <v>2</v>
      </c>
      <c r="E4" t="s">
        <v>3</v>
      </c>
      <c r="F4" t="s">
        <v>4</v>
      </c>
      <c r="G4" t="s">
        <v>5</v>
      </c>
      <c r="H4" t="s">
        <v>141</v>
      </c>
      <c r="I4" t="s">
        <v>405</v>
      </c>
      <c r="J4" t="s">
        <v>395</v>
      </c>
    </row>
    <row r="5" spans="2:10" x14ac:dyDescent="0.25">
      <c r="B5">
        <v>1060759</v>
      </c>
      <c r="C5" t="s">
        <v>8</v>
      </c>
      <c r="D5" t="s">
        <v>9</v>
      </c>
      <c r="E5" t="s">
        <v>10</v>
      </c>
      <c r="F5">
        <v>221581.58</v>
      </c>
      <c r="G5" s="1"/>
    </row>
    <row r="6" spans="2:10" x14ac:dyDescent="0.25">
      <c r="B6">
        <v>2012618</v>
      </c>
      <c r="C6" t="s">
        <v>11</v>
      </c>
      <c r="D6" t="s">
        <v>12</v>
      </c>
      <c r="E6" t="s">
        <v>7</v>
      </c>
      <c r="F6">
        <v>133000</v>
      </c>
      <c r="G6" s="1"/>
    </row>
    <row r="7" spans="2:10" x14ac:dyDescent="0.25">
      <c r="B7">
        <v>1033948</v>
      </c>
      <c r="C7" t="s">
        <v>13</v>
      </c>
      <c r="D7" t="s">
        <v>14</v>
      </c>
      <c r="E7" t="s">
        <v>7</v>
      </c>
      <c r="F7">
        <v>120000</v>
      </c>
      <c r="G7" s="1"/>
    </row>
    <row r="8" spans="2:10" x14ac:dyDescent="0.25">
      <c r="B8">
        <v>1004611</v>
      </c>
      <c r="C8" t="s">
        <v>17</v>
      </c>
      <c r="D8" t="s">
        <v>18</v>
      </c>
      <c r="E8" t="s">
        <v>7</v>
      </c>
      <c r="F8">
        <v>323977.5</v>
      </c>
      <c r="G8" s="1"/>
    </row>
    <row r="9" spans="2:10" x14ac:dyDescent="0.25">
      <c r="B9">
        <v>2012940</v>
      </c>
      <c r="C9" t="s">
        <v>19</v>
      </c>
      <c r="D9" t="s">
        <v>20</v>
      </c>
      <c r="E9" t="s">
        <v>21</v>
      </c>
      <c r="F9">
        <v>34850</v>
      </c>
      <c r="G9" s="1"/>
    </row>
    <row r="10" spans="2:10" x14ac:dyDescent="0.25">
      <c r="B10">
        <v>1017454</v>
      </c>
      <c r="C10" t="s">
        <v>22</v>
      </c>
      <c r="D10" t="s">
        <v>23</v>
      </c>
      <c r="E10" t="s">
        <v>21</v>
      </c>
      <c r="F10">
        <v>293700</v>
      </c>
      <c r="G10" s="1"/>
      <c r="I10">
        <v>4494028</v>
      </c>
    </row>
    <row r="11" spans="2:10" x14ac:dyDescent="0.25">
      <c r="B11">
        <v>1017497</v>
      </c>
      <c r="C11" t="s">
        <v>24</v>
      </c>
      <c r="D11" t="s">
        <v>6</v>
      </c>
      <c r="E11" t="s">
        <v>7</v>
      </c>
      <c r="F11">
        <v>250000</v>
      </c>
      <c r="G11" s="1">
        <v>44990</v>
      </c>
      <c r="H11">
        <v>317</v>
      </c>
      <c r="I11">
        <v>6307030</v>
      </c>
      <c r="J11" t="s">
        <v>397</v>
      </c>
    </row>
    <row r="12" spans="2:10" x14ac:dyDescent="0.25">
      <c r="B12">
        <v>1002511</v>
      </c>
      <c r="C12" t="s">
        <v>25</v>
      </c>
      <c r="D12" t="s">
        <v>26</v>
      </c>
      <c r="E12" t="s">
        <v>21</v>
      </c>
      <c r="F12">
        <v>34566.300000000003</v>
      </c>
      <c r="G12" s="1"/>
      <c r="I12">
        <v>5412127</v>
      </c>
    </row>
    <row r="13" spans="2:10" x14ac:dyDescent="0.25">
      <c r="B13">
        <v>1055976</v>
      </c>
      <c r="C13" t="s">
        <v>27</v>
      </c>
      <c r="D13" t="s">
        <v>28</v>
      </c>
      <c r="E13" t="s">
        <v>21</v>
      </c>
      <c r="F13">
        <v>12048</v>
      </c>
      <c r="G13" s="1"/>
    </row>
    <row r="14" spans="2:10" x14ac:dyDescent="0.25">
      <c r="B14">
        <v>1056158</v>
      </c>
      <c r="C14" t="s">
        <v>29</v>
      </c>
      <c r="D14" t="s">
        <v>30</v>
      </c>
      <c r="E14" t="s">
        <v>21</v>
      </c>
      <c r="F14">
        <v>32775</v>
      </c>
      <c r="G14" s="1"/>
    </row>
    <row r="15" spans="2:10" x14ac:dyDescent="0.25">
      <c r="B15">
        <v>2007283</v>
      </c>
      <c r="C15" t="s">
        <v>31</v>
      </c>
      <c r="D15" t="s">
        <v>32</v>
      </c>
      <c r="E15" t="s">
        <v>7</v>
      </c>
      <c r="F15">
        <v>486321.29</v>
      </c>
      <c r="G15" s="1"/>
      <c r="I15">
        <v>5912001</v>
      </c>
    </row>
    <row r="16" spans="2:10" x14ac:dyDescent="0.25">
      <c r="B16">
        <v>1003836</v>
      </c>
      <c r="C16" t="s">
        <v>33</v>
      </c>
      <c r="D16" t="s">
        <v>34</v>
      </c>
      <c r="E16" t="s">
        <v>21</v>
      </c>
      <c r="F16">
        <v>95329.75</v>
      </c>
      <c r="G16" s="1"/>
      <c r="I16">
        <v>5703120</v>
      </c>
      <c r="J16" t="s">
        <v>403</v>
      </c>
    </row>
    <row r="17" spans="2:10" x14ac:dyDescent="0.25">
      <c r="B17">
        <v>1056158</v>
      </c>
      <c r="C17" t="s">
        <v>35</v>
      </c>
      <c r="D17" t="s">
        <v>30</v>
      </c>
      <c r="E17" t="s">
        <v>7</v>
      </c>
      <c r="F17">
        <v>98189.49</v>
      </c>
      <c r="G17" s="1"/>
      <c r="I17">
        <v>4805577</v>
      </c>
    </row>
    <row r="18" spans="2:10" x14ac:dyDescent="0.25">
      <c r="B18">
        <v>2014276</v>
      </c>
      <c r="C18" t="s">
        <v>36</v>
      </c>
      <c r="D18" t="s">
        <v>37</v>
      </c>
      <c r="E18" t="s">
        <v>7</v>
      </c>
      <c r="F18">
        <v>110240</v>
      </c>
      <c r="G18" s="1"/>
      <c r="I18">
        <v>6312021</v>
      </c>
    </row>
    <row r="19" spans="2:10" x14ac:dyDescent="0.25">
      <c r="B19">
        <v>1067532</v>
      </c>
      <c r="C19" t="s">
        <v>38</v>
      </c>
      <c r="D19" t="s">
        <v>39</v>
      </c>
      <c r="E19" t="s">
        <v>7</v>
      </c>
      <c r="F19">
        <v>250000</v>
      </c>
      <c r="G19" s="1"/>
    </row>
    <row r="20" spans="2:10" x14ac:dyDescent="0.25">
      <c r="B20">
        <v>2015159</v>
      </c>
      <c r="C20" t="s">
        <v>40</v>
      </c>
      <c r="D20" t="s">
        <v>41</v>
      </c>
      <c r="E20" t="s">
        <v>7</v>
      </c>
      <c r="F20">
        <v>2820039.5</v>
      </c>
      <c r="G20" s="1"/>
    </row>
    <row r="21" spans="2:10" x14ac:dyDescent="0.25">
      <c r="B21">
        <v>2002452</v>
      </c>
      <c r="C21" t="s">
        <v>42</v>
      </c>
      <c r="D21" t="s">
        <v>43</v>
      </c>
      <c r="E21" t="s">
        <v>7</v>
      </c>
      <c r="F21">
        <v>915946.92</v>
      </c>
      <c r="G21" s="1"/>
      <c r="I21">
        <v>6312021</v>
      </c>
    </row>
    <row r="22" spans="2:10" x14ac:dyDescent="0.25">
      <c r="B22">
        <v>1005588</v>
      </c>
      <c r="C22" t="s">
        <v>44</v>
      </c>
      <c r="D22" t="s">
        <v>45</v>
      </c>
      <c r="E22" t="s">
        <v>7</v>
      </c>
      <c r="F22">
        <v>330000</v>
      </c>
      <c r="G22" s="1"/>
      <c r="I22">
        <v>6112009</v>
      </c>
    </row>
    <row r="23" spans="2:10" x14ac:dyDescent="0.25">
      <c r="B23">
        <v>1080997</v>
      </c>
      <c r="C23" t="s">
        <v>46</v>
      </c>
      <c r="D23" t="s">
        <v>47</v>
      </c>
      <c r="E23" t="s">
        <v>7</v>
      </c>
      <c r="F23">
        <v>300000</v>
      </c>
      <c r="G23" s="1"/>
    </row>
    <row r="24" spans="2:10" x14ac:dyDescent="0.25">
      <c r="B24">
        <v>1070002</v>
      </c>
      <c r="C24" t="s">
        <v>48</v>
      </c>
      <c r="D24" t="s">
        <v>49</v>
      </c>
      <c r="E24" t="s">
        <v>7</v>
      </c>
      <c r="F24">
        <v>39480</v>
      </c>
      <c r="G24" s="1"/>
    </row>
    <row r="25" spans="2:10" x14ac:dyDescent="0.25">
      <c r="B25">
        <v>1070002</v>
      </c>
      <c r="C25" t="s">
        <v>50</v>
      </c>
      <c r="D25" t="s">
        <v>49</v>
      </c>
      <c r="E25" t="s">
        <v>7</v>
      </c>
      <c r="F25">
        <v>31346</v>
      </c>
      <c r="G25" s="1"/>
    </row>
    <row r="26" spans="2:10" x14ac:dyDescent="0.25">
      <c r="B26">
        <v>1036505</v>
      </c>
      <c r="C26" t="s">
        <v>51</v>
      </c>
      <c r="D26" t="s">
        <v>52</v>
      </c>
      <c r="E26" t="s">
        <v>7</v>
      </c>
      <c r="F26">
        <v>323039.03999999998</v>
      </c>
      <c r="G26" s="1"/>
      <c r="I26">
        <v>6309010</v>
      </c>
    </row>
    <row r="27" spans="2:10" x14ac:dyDescent="0.25">
      <c r="B27">
        <v>1036505</v>
      </c>
      <c r="C27" t="s">
        <v>53</v>
      </c>
      <c r="D27" t="s">
        <v>52</v>
      </c>
      <c r="E27" t="s">
        <v>7</v>
      </c>
      <c r="F27">
        <v>379426.76</v>
      </c>
      <c r="G27" s="1"/>
      <c r="I27">
        <v>6309010</v>
      </c>
    </row>
    <row r="28" spans="2:10" x14ac:dyDescent="0.25">
      <c r="B28">
        <v>1033301</v>
      </c>
      <c r="C28" t="s">
        <v>54</v>
      </c>
      <c r="D28" t="s">
        <v>55</v>
      </c>
      <c r="E28" t="s">
        <v>7</v>
      </c>
      <c r="F28">
        <v>2955263.04</v>
      </c>
      <c r="G28" s="1"/>
      <c r="I28">
        <v>6312021</v>
      </c>
    </row>
    <row r="29" spans="2:10" x14ac:dyDescent="0.25">
      <c r="B29">
        <v>2015984</v>
      </c>
      <c r="C29" t="s">
        <v>56</v>
      </c>
      <c r="D29" t="s">
        <v>57</v>
      </c>
      <c r="E29" t="s">
        <v>7</v>
      </c>
      <c r="F29">
        <v>112133.97</v>
      </c>
      <c r="G29" s="1"/>
      <c r="I29">
        <v>4805577</v>
      </c>
    </row>
    <row r="30" spans="2:10" x14ac:dyDescent="0.25">
      <c r="B30">
        <v>1067532</v>
      </c>
      <c r="C30" t="s">
        <v>58</v>
      </c>
      <c r="D30" t="s">
        <v>59</v>
      </c>
      <c r="E30" t="s">
        <v>7</v>
      </c>
      <c r="F30">
        <v>200000</v>
      </c>
      <c r="G30" s="1">
        <v>44852</v>
      </c>
      <c r="H30">
        <v>455</v>
      </c>
      <c r="I30">
        <v>6608020</v>
      </c>
      <c r="J30" t="s">
        <v>400</v>
      </c>
    </row>
    <row r="31" spans="2:10" x14ac:dyDescent="0.25">
      <c r="B31">
        <v>2009039</v>
      </c>
      <c r="C31" t="s">
        <v>60</v>
      </c>
      <c r="D31" t="s">
        <v>61</v>
      </c>
      <c r="E31" t="s">
        <v>7</v>
      </c>
      <c r="F31">
        <v>2500000</v>
      </c>
      <c r="G31" s="1"/>
      <c r="I31">
        <v>5703120</v>
      </c>
      <c r="J31" t="s">
        <v>403</v>
      </c>
    </row>
    <row r="32" spans="2:10" x14ac:dyDescent="0.25">
      <c r="B32">
        <v>2014800</v>
      </c>
      <c r="C32" t="s">
        <v>62</v>
      </c>
      <c r="D32" t="s">
        <v>63</v>
      </c>
      <c r="E32" t="s">
        <v>21</v>
      </c>
      <c r="F32">
        <v>99000</v>
      </c>
      <c r="G32" s="1"/>
    </row>
    <row r="33" spans="2:10" x14ac:dyDescent="0.25">
      <c r="B33">
        <v>2006464</v>
      </c>
      <c r="C33" t="s">
        <v>64</v>
      </c>
      <c r="D33" t="s">
        <v>65</v>
      </c>
      <c r="E33" t="s">
        <v>21</v>
      </c>
      <c r="F33">
        <v>335200</v>
      </c>
      <c r="G33" s="1"/>
      <c r="I33">
        <v>6002042</v>
      </c>
      <c r="J33" t="s">
        <v>396</v>
      </c>
    </row>
    <row r="34" spans="2:10" x14ac:dyDescent="0.25">
      <c r="B34">
        <v>2007283</v>
      </c>
      <c r="C34" t="s">
        <v>66</v>
      </c>
      <c r="D34" t="s">
        <v>32</v>
      </c>
      <c r="E34" t="s">
        <v>7</v>
      </c>
      <c r="F34">
        <v>292721</v>
      </c>
      <c r="G34" s="1">
        <v>44692</v>
      </c>
      <c r="H34">
        <v>615</v>
      </c>
      <c r="I34">
        <v>6601014</v>
      </c>
      <c r="J34" t="s">
        <v>406</v>
      </c>
    </row>
    <row r="35" spans="2:10" x14ac:dyDescent="0.25">
      <c r="B35">
        <v>1002511</v>
      </c>
      <c r="C35" t="s">
        <v>67</v>
      </c>
      <c r="D35" t="s">
        <v>68</v>
      </c>
      <c r="E35" t="s">
        <v>21</v>
      </c>
      <c r="F35">
        <v>274560</v>
      </c>
      <c r="G35" s="1"/>
    </row>
    <row r="36" spans="2:10" x14ac:dyDescent="0.25">
      <c r="B36">
        <v>2018460</v>
      </c>
      <c r="C36" t="s">
        <v>71</v>
      </c>
      <c r="D36" t="s">
        <v>72</v>
      </c>
      <c r="E36" t="s">
        <v>7</v>
      </c>
      <c r="F36">
        <v>1517620.5</v>
      </c>
      <c r="G36" s="1">
        <v>44678</v>
      </c>
      <c r="H36">
        <v>629</v>
      </c>
      <c r="I36">
        <v>6601014</v>
      </c>
      <c r="J36" t="s">
        <v>406</v>
      </c>
    </row>
    <row r="37" spans="2:10" x14ac:dyDescent="0.25">
      <c r="B37">
        <v>1003488</v>
      </c>
      <c r="C37" t="s">
        <v>73</v>
      </c>
      <c r="D37" t="s">
        <v>74</v>
      </c>
      <c r="E37" t="s">
        <v>21</v>
      </c>
      <c r="F37">
        <v>198049.32</v>
      </c>
      <c r="G37" s="1">
        <v>44648</v>
      </c>
      <c r="H37">
        <v>659</v>
      </c>
      <c r="I37">
        <v>6601014</v>
      </c>
      <c r="J37" t="s">
        <v>406</v>
      </c>
    </row>
    <row r="38" spans="2:10" x14ac:dyDescent="0.25">
      <c r="B38">
        <v>2014130</v>
      </c>
      <c r="C38" t="s">
        <v>75</v>
      </c>
      <c r="D38" t="s">
        <v>76</v>
      </c>
      <c r="E38" t="s">
        <v>7</v>
      </c>
      <c r="F38">
        <v>261050</v>
      </c>
      <c r="G38" s="1">
        <v>44649</v>
      </c>
      <c r="H38">
        <v>658</v>
      </c>
      <c r="I38">
        <v>6601014</v>
      </c>
      <c r="J38" t="s">
        <v>406</v>
      </c>
    </row>
    <row r="39" spans="2:10" x14ac:dyDescent="0.25">
      <c r="B39">
        <v>1088788</v>
      </c>
      <c r="C39" t="s">
        <v>79</v>
      </c>
      <c r="D39" t="s">
        <v>80</v>
      </c>
      <c r="E39" t="s">
        <v>7</v>
      </c>
      <c r="F39">
        <v>200888.28</v>
      </c>
      <c r="G39" s="1">
        <v>44864</v>
      </c>
      <c r="H39">
        <v>443</v>
      </c>
      <c r="I39">
        <v>6507004</v>
      </c>
      <c r="J39" t="s">
        <v>399</v>
      </c>
    </row>
    <row r="40" spans="2:10" x14ac:dyDescent="0.25">
      <c r="B40">
        <v>2015300</v>
      </c>
      <c r="C40" t="s">
        <v>81</v>
      </c>
      <c r="D40" t="s">
        <v>233</v>
      </c>
      <c r="E40" t="s">
        <v>7</v>
      </c>
      <c r="F40">
        <v>500000</v>
      </c>
      <c r="G40" s="1">
        <v>44641</v>
      </c>
      <c r="H40">
        <v>666</v>
      </c>
      <c r="I40">
        <v>6601014</v>
      </c>
      <c r="J40" t="s">
        <v>406</v>
      </c>
    </row>
    <row r="41" spans="2:10" x14ac:dyDescent="0.25">
      <c r="B41">
        <v>1002635</v>
      </c>
      <c r="C41" t="s">
        <v>82</v>
      </c>
      <c r="D41" t="s">
        <v>83</v>
      </c>
      <c r="E41" t="s">
        <v>7</v>
      </c>
      <c r="F41">
        <v>179000</v>
      </c>
      <c r="G41" s="1">
        <v>44704</v>
      </c>
      <c r="H41">
        <v>603</v>
      </c>
      <c r="I41">
        <v>6601014</v>
      </c>
      <c r="J41" t="s">
        <v>406</v>
      </c>
    </row>
    <row r="42" spans="2:10" x14ac:dyDescent="0.25">
      <c r="B42">
        <v>1060759</v>
      </c>
      <c r="C42" t="s">
        <v>84</v>
      </c>
      <c r="D42" t="s">
        <v>85</v>
      </c>
      <c r="E42" t="s">
        <v>21</v>
      </c>
      <c r="F42">
        <v>38524.449999999997</v>
      </c>
      <c r="G42" s="1">
        <v>44838</v>
      </c>
      <c r="H42">
        <v>469</v>
      </c>
      <c r="I42">
        <v>5703120</v>
      </c>
      <c r="J42" t="s">
        <v>403</v>
      </c>
    </row>
    <row r="43" spans="2:10" x14ac:dyDescent="0.25">
      <c r="B43">
        <v>1006835</v>
      </c>
      <c r="C43" t="s">
        <v>86</v>
      </c>
      <c r="D43" t="s">
        <v>87</v>
      </c>
      <c r="E43" t="s">
        <v>21</v>
      </c>
      <c r="F43">
        <v>161843.16</v>
      </c>
      <c r="G43" s="1">
        <v>44830</v>
      </c>
      <c r="H43">
        <v>477</v>
      </c>
      <c r="I43">
        <v>5703120</v>
      </c>
      <c r="J43" t="s">
        <v>403</v>
      </c>
    </row>
    <row r="44" spans="2:10" x14ac:dyDescent="0.25">
      <c r="B44">
        <v>1088708</v>
      </c>
      <c r="C44" t="s">
        <v>88</v>
      </c>
      <c r="D44" t="s">
        <v>89</v>
      </c>
      <c r="E44" t="s">
        <v>7</v>
      </c>
      <c r="F44">
        <v>458019</v>
      </c>
      <c r="G44" s="1">
        <v>44678</v>
      </c>
      <c r="H44">
        <v>629</v>
      </c>
      <c r="I44">
        <v>6601014</v>
      </c>
      <c r="J44" t="s">
        <v>406</v>
      </c>
    </row>
    <row r="45" spans="2:10" x14ac:dyDescent="0.25">
      <c r="B45">
        <v>1006835</v>
      </c>
      <c r="C45" t="s">
        <v>90</v>
      </c>
      <c r="D45" t="s">
        <v>91</v>
      </c>
      <c r="E45" t="s">
        <v>21</v>
      </c>
      <c r="F45">
        <v>84684</v>
      </c>
      <c r="G45" s="1"/>
    </row>
    <row r="46" spans="2:10" x14ac:dyDescent="0.25">
      <c r="B46">
        <v>1017594</v>
      </c>
      <c r="C46" t="s">
        <v>92</v>
      </c>
      <c r="D46" t="s">
        <v>93</v>
      </c>
      <c r="E46" t="s">
        <v>7</v>
      </c>
      <c r="F46">
        <v>380060.36</v>
      </c>
      <c r="G46" s="1">
        <v>45001</v>
      </c>
      <c r="H46">
        <v>306</v>
      </c>
      <c r="I46">
        <v>6608018</v>
      </c>
      <c r="J46" t="s">
        <v>398</v>
      </c>
    </row>
    <row r="47" spans="2:10" x14ac:dyDescent="0.25">
      <c r="B47">
        <v>1092243</v>
      </c>
      <c r="C47" t="s">
        <v>95</v>
      </c>
      <c r="D47" t="s">
        <v>96</v>
      </c>
      <c r="E47" t="s">
        <v>7</v>
      </c>
      <c r="F47">
        <v>213788.51</v>
      </c>
      <c r="G47" s="1">
        <v>44896</v>
      </c>
      <c r="H47">
        <v>411</v>
      </c>
      <c r="I47">
        <v>6307030</v>
      </c>
      <c r="J47" t="s">
        <v>397</v>
      </c>
    </row>
    <row r="48" spans="2:10" x14ac:dyDescent="0.25">
      <c r="B48">
        <v>2003973</v>
      </c>
      <c r="C48" t="s">
        <v>97</v>
      </c>
      <c r="D48" t="s">
        <v>230</v>
      </c>
      <c r="E48" t="s">
        <v>7</v>
      </c>
      <c r="F48">
        <v>150000</v>
      </c>
      <c r="G48" s="1">
        <v>44836</v>
      </c>
      <c r="H48">
        <v>471</v>
      </c>
      <c r="I48">
        <v>6601014</v>
      </c>
      <c r="J48" t="s">
        <v>406</v>
      </c>
    </row>
    <row r="49" spans="2:10" x14ac:dyDescent="0.25">
      <c r="B49">
        <v>1083384</v>
      </c>
      <c r="C49" t="s">
        <v>98</v>
      </c>
      <c r="D49" t="s">
        <v>99</v>
      </c>
      <c r="E49" t="s">
        <v>7</v>
      </c>
      <c r="F49">
        <v>1070650</v>
      </c>
      <c r="G49" s="1">
        <v>44935</v>
      </c>
      <c r="H49">
        <v>372</v>
      </c>
      <c r="I49">
        <v>6608020</v>
      </c>
      <c r="J49" t="s">
        <v>400</v>
      </c>
    </row>
    <row r="50" spans="2:10" x14ac:dyDescent="0.25">
      <c r="B50">
        <v>1067532</v>
      </c>
      <c r="C50" t="s">
        <v>100</v>
      </c>
      <c r="D50" t="s">
        <v>101</v>
      </c>
      <c r="E50" t="s">
        <v>7</v>
      </c>
      <c r="F50">
        <v>50000</v>
      </c>
      <c r="G50" s="1">
        <v>44923</v>
      </c>
      <c r="H50">
        <v>384</v>
      </c>
      <c r="I50">
        <v>6608020</v>
      </c>
      <c r="J50" t="s">
        <v>400</v>
      </c>
    </row>
    <row r="51" spans="2:10" x14ac:dyDescent="0.25">
      <c r="B51">
        <v>1007831</v>
      </c>
      <c r="C51" t="s">
        <v>102</v>
      </c>
      <c r="D51" t="s">
        <v>103</v>
      </c>
      <c r="E51" t="s">
        <v>104</v>
      </c>
      <c r="F51">
        <v>56124.09</v>
      </c>
      <c r="G51" s="1">
        <v>44965</v>
      </c>
      <c r="H51">
        <v>342</v>
      </c>
      <c r="I51">
        <v>6002042</v>
      </c>
      <c r="J51" t="s">
        <v>396</v>
      </c>
    </row>
    <row r="52" spans="2:10" x14ac:dyDescent="0.25">
      <c r="B52">
        <v>2021222</v>
      </c>
      <c r="C52" t="s">
        <v>110</v>
      </c>
      <c r="D52" t="s">
        <v>234</v>
      </c>
      <c r="E52" t="s">
        <v>7</v>
      </c>
      <c r="F52">
        <v>535118</v>
      </c>
      <c r="G52" s="1">
        <v>45047</v>
      </c>
      <c r="H52">
        <v>260</v>
      </c>
      <c r="I52">
        <v>6507004</v>
      </c>
      <c r="J52" t="s">
        <v>399</v>
      </c>
    </row>
    <row r="53" spans="2:10" x14ac:dyDescent="0.25">
      <c r="B53">
        <v>2014130</v>
      </c>
      <c r="C53" t="s">
        <v>111</v>
      </c>
      <c r="D53" t="s">
        <v>232</v>
      </c>
      <c r="E53" t="s">
        <v>7</v>
      </c>
      <c r="F53">
        <v>67401.5</v>
      </c>
      <c r="G53" s="1">
        <v>45025</v>
      </c>
      <c r="H53">
        <v>282</v>
      </c>
      <c r="I53">
        <v>6608018</v>
      </c>
      <c r="J53" t="s">
        <v>398</v>
      </c>
    </row>
    <row r="54" spans="2:10" x14ac:dyDescent="0.25">
      <c r="B54">
        <v>2014130</v>
      </c>
      <c r="C54" t="s">
        <v>112</v>
      </c>
      <c r="D54" t="s">
        <v>232</v>
      </c>
      <c r="E54" t="s">
        <v>7</v>
      </c>
      <c r="F54">
        <v>67401.5</v>
      </c>
      <c r="G54" s="1">
        <v>45025</v>
      </c>
      <c r="H54">
        <v>282</v>
      </c>
      <c r="I54">
        <v>6608018</v>
      </c>
      <c r="J54" t="s">
        <v>398</v>
      </c>
    </row>
    <row r="55" spans="2:10" x14ac:dyDescent="0.25">
      <c r="B55">
        <v>1057995</v>
      </c>
      <c r="C55" t="s">
        <v>113</v>
      </c>
      <c r="D55" t="s">
        <v>114</v>
      </c>
      <c r="E55" t="s">
        <v>7</v>
      </c>
      <c r="F55">
        <v>180000</v>
      </c>
      <c r="G55" s="1">
        <v>45006</v>
      </c>
      <c r="H55">
        <v>301</v>
      </c>
      <c r="I55">
        <v>6507004</v>
      </c>
      <c r="J55" t="s">
        <v>399</v>
      </c>
    </row>
    <row r="56" spans="2:10" x14ac:dyDescent="0.25">
      <c r="B56">
        <v>1088708</v>
      </c>
      <c r="C56" t="s">
        <v>115</v>
      </c>
      <c r="D56" t="s">
        <v>229</v>
      </c>
      <c r="E56" t="s">
        <v>7</v>
      </c>
      <c r="F56">
        <v>144095</v>
      </c>
      <c r="G56" s="1">
        <v>44996</v>
      </c>
      <c r="H56">
        <v>311</v>
      </c>
      <c r="I56">
        <v>6307030</v>
      </c>
      <c r="J56" t="s">
        <v>397</v>
      </c>
    </row>
    <row r="57" spans="2:10" x14ac:dyDescent="0.25">
      <c r="B57">
        <v>2014130</v>
      </c>
      <c r="C57" t="s">
        <v>122</v>
      </c>
      <c r="D57" t="s">
        <v>76</v>
      </c>
      <c r="E57" t="s">
        <v>10</v>
      </c>
      <c r="F57">
        <v>113499.93</v>
      </c>
      <c r="G57" s="1">
        <v>45230</v>
      </c>
      <c r="H57">
        <v>77</v>
      </c>
      <c r="I57">
        <v>6707034</v>
      </c>
      <c r="J57" t="s">
        <v>393</v>
      </c>
    </row>
    <row r="58" spans="2:10" x14ac:dyDescent="0.25">
      <c r="B58">
        <v>2009048</v>
      </c>
      <c r="C58" t="s">
        <v>126</v>
      </c>
      <c r="D58" t="s">
        <v>231</v>
      </c>
      <c r="E58" t="s">
        <v>7</v>
      </c>
      <c r="F58">
        <v>62100</v>
      </c>
      <c r="G58" s="1">
        <v>45172</v>
      </c>
      <c r="H58">
        <v>135</v>
      </c>
      <c r="I58">
        <v>6706006</v>
      </c>
      <c r="J58" t="s">
        <v>401</v>
      </c>
    </row>
    <row r="59" spans="2:10" x14ac:dyDescent="0.25">
      <c r="B59">
        <v>2009048</v>
      </c>
      <c r="C59" t="s">
        <v>127</v>
      </c>
      <c r="D59" t="s">
        <v>231</v>
      </c>
      <c r="E59" t="s">
        <v>7</v>
      </c>
      <c r="F59">
        <v>69460</v>
      </c>
      <c r="G59" s="1">
        <v>45172</v>
      </c>
      <c r="H59">
        <v>135</v>
      </c>
      <c r="I59">
        <v>6706006</v>
      </c>
      <c r="J59" t="s">
        <v>401</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118AAC-A961-4DF9-ADF0-61B3E8632FB0}">
  <sheetPr codeName="SUPER_ESC_DAM"/>
  <dimension ref="B1:J5"/>
  <sheetViews>
    <sheetView showGridLines="0" workbookViewId="0">
      <selection activeCell="B5" sqref="B5"/>
    </sheetView>
  </sheetViews>
  <sheetFormatPr defaultRowHeight="15" x14ac:dyDescent="0.25"/>
  <cols>
    <col min="2" max="2" width="10.5703125" bestFit="1" customWidth="1"/>
    <col min="3" max="3" width="16.42578125" bestFit="1" customWidth="1"/>
    <col min="4" max="4" width="23.140625" bestFit="1" customWidth="1"/>
    <col min="5" max="5" width="7.28515625" bestFit="1" customWidth="1"/>
    <col min="6" max="6" width="16.42578125" bestFit="1" customWidth="1"/>
    <col min="7" max="7" width="21.7109375" bestFit="1" customWidth="1"/>
    <col min="8" max="8" width="9.28515625" bestFit="1" customWidth="1"/>
    <col min="9" max="9" width="13.28515625" bestFit="1" customWidth="1"/>
    <col min="10" max="10" width="25.5703125" customWidth="1"/>
    <col min="11" max="11" width="21.7109375" bestFit="1" customWidth="1"/>
    <col min="12" max="12" width="9.28515625" bestFit="1" customWidth="1"/>
  </cols>
  <sheetData>
    <row r="1" spans="2:10" ht="18" x14ac:dyDescent="0.25">
      <c r="C1" s="9" t="s">
        <v>236</v>
      </c>
    </row>
    <row r="2" spans="2:10" ht="18" x14ac:dyDescent="0.25">
      <c r="D2" s="9"/>
    </row>
    <row r="4" spans="2:10" x14ac:dyDescent="0.25">
      <c r="B4" t="s">
        <v>1</v>
      </c>
      <c r="C4" t="s">
        <v>0</v>
      </c>
      <c r="D4" t="s">
        <v>2</v>
      </c>
      <c r="E4" t="s">
        <v>3</v>
      </c>
      <c r="F4" t="s">
        <v>4</v>
      </c>
      <c r="G4" t="s">
        <v>5</v>
      </c>
      <c r="H4" t="s">
        <v>141</v>
      </c>
      <c r="I4" t="s">
        <v>404</v>
      </c>
      <c r="J4" t="s">
        <v>395</v>
      </c>
    </row>
    <row r="5" spans="2:10" x14ac:dyDescent="0.25">
      <c r="B5">
        <v>1099841</v>
      </c>
      <c r="C5" t="s">
        <v>142</v>
      </c>
      <c r="D5" t="s">
        <v>143</v>
      </c>
      <c r="E5" t="s">
        <v>7</v>
      </c>
      <c r="F5">
        <v>15767.12</v>
      </c>
      <c r="G5" s="1">
        <v>45217</v>
      </c>
      <c r="H5">
        <v>90</v>
      </c>
      <c r="I5">
        <v>6003026</v>
      </c>
      <c r="J5" t="s">
        <v>394</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1517AA-5FA1-41CF-96FA-E85C898768CE}">
  <sheetPr codeName="SUPER_ESC_JED"/>
  <dimension ref="B1:J10"/>
  <sheetViews>
    <sheetView showGridLines="0" workbookViewId="0">
      <selection activeCell="B5" sqref="B5"/>
    </sheetView>
  </sheetViews>
  <sheetFormatPr defaultRowHeight="15" x14ac:dyDescent="0.25"/>
  <cols>
    <col min="2" max="2" width="10.5703125" bestFit="1" customWidth="1"/>
    <col min="3" max="3" width="16.42578125" bestFit="1" customWidth="1"/>
    <col min="4" max="4" width="39.85546875" bestFit="1" customWidth="1"/>
    <col min="5" max="5" width="7.28515625" bestFit="1" customWidth="1"/>
    <col min="6" max="6" width="16.42578125" bestFit="1" customWidth="1"/>
    <col min="7" max="7" width="21.7109375" bestFit="1" customWidth="1"/>
    <col min="8" max="8" width="9.28515625" bestFit="1" customWidth="1"/>
    <col min="9" max="9" width="13.28515625" bestFit="1" customWidth="1"/>
    <col min="10" max="10" width="16.7109375" customWidth="1"/>
    <col min="11" max="11" width="21.7109375" bestFit="1" customWidth="1"/>
    <col min="12" max="12" width="9.28515625" bestFit="1" customWidth="1"/>
  </cols>
  <sheetData>
    <row r="1" spans="2:10" ht="18" x14ac:dyDescent="0.25">
      <c r="D1" s="9" t="s">
        <v>237</v>
      </c>
    </row>
    <row r="2" spans="2:10" ht="18" x14ac:dyDescent="0.25">
      <c r="D2" s="9"/>
    </row>
    <row r="4" spans="2:10" x14ac:dyDescent="0.25">
      <c r="B4" t="s">
        <v>1</v>
      </c>
      <c r="C4" t="s">
        <v>0</v>
      </c>
      <c r="D4" t="s">
        <v>2</v>
      </c>
      <c r="E4" t="s">
        <v>3</v>
      </c>
      <c r="F4" t="s">
        <v>4</v>
      </c>
      <c r="G4" t="s">
        <v>5</v>
      </c>
      <c r="H4" t="s">
        <v>141</v>
      </c>
      <c r="I4" t="s">
        <v>404</v>
      </c>
      <c r="J4" t="s">
        <v>395</v>
      </c>
    </row>
    <row r="5" spans="2:10" x14ac:dyDescent="0.25">
      <c r="B5">
        <v>1069802</v>
      </c>
      <c r="C5" t="s">
        <v>167</v>
      </c>
      <c r="D5" t="s">
        <v>168</v>
      </c>
      <c r="E5" t="s">
        <v>7</v>
      </c>
      <c r="F5">
        <v>268668.75</v>
      </c>
      <c r="G5" s="1">
        <v>44896</v>
      </c>
      <c r="H5">
        <v>411</v>
      </c>
    </row>
    <row r="6" spans="2:10" x14ac:dyDescent="0.25">
      <c r="B6">
        <v>2020661</v>
      </c>
      <c r="C6" t="s">
        <v>171</v>
      </c>
      <c r="D6" t="s">
        <v>172</v>
      </c>
      <c r="E6" t="s">
        <v>21</v>
      </c>
      <c r="F6">
        <v>108500</v>
      </c>
      <c r="G6" s="1"/>
    </row>
    <row r="7" spans="2:10" x14ac:dyDescent="0.25">
      <c r="B7">
        <v>1135619</v>
      </c>
      <c r="C7" t="s">
        <v>170</v>
      </c>
      <c r="D7" t="s">
        <v>169</v>
      </c>
      <c r="E7" t="s">
        <v>7</v>
      </c>
      <c r="F7">
        <v>43740.7</v>
      </c>
      <c r="G7" s="1">
        <v>45050</v>
      </c>
      <c r="H7">
        <v>257</v>
      </c>
      <c r="I7">
        <v>5507010</v>
      </c>
      <c r="J7" t="s">
        <v>402</v>
      </c>
    </row>
    <row r="8" spans="2:10" x14ac:dyDescent="0.25">
      <c r="B8">
        <v>1170546</v>
      </c>
      <c r="C8" t="s">
        <v>300</v>
      </c>
      <c r="D8" t="s">
        <v>301</v>
      </c>
      <c r="E8" t="s">
        <v>21</v>
      </c>
      <c r="F8">
        <v>83081.960000000006</v>
      </c>
      <c r="G8" s="1"/>
      <c r="I8">
        <v>5707050</v>
      </c>
      <c r="J8" t="s">
        <v>440</v>
      </c>
    </row>
    <row r="9" spans="2:10" x14ac:dyDescent="0.25">
      <c r="B9">
        <v>1145533</v>
      </c>
      <c r="C9" t="s">
        <v>294</v>
      </c>
      <c r="D9" t="s">
        <v>295</v>
      </c>
      <c r="E9" t="s">
        <v>104</v>
      </c>
      <c r="F9">
        <v>329092</v>
      </c>
      <c r="G9" s="1"/>
      <c r="I9">
        <v>5707050</v>
      </c>
      <c r="J9" t="s">
        <v>440</v>
      </c>
    </row>
    <row r="10" spans="2:10" x14ac:dyDescent="0.25">
      <c r="B10">
        <v>1136461</v>
      </c>
      <c r="C10" t="s">
        <v>292</v>
      </c>
      <c r="D10" t="s">
        <v>293</v>
      </c>
      <c r="E10" t="s">
        <v>21</v>
      </c>
      <c r="F10">
        <v>78236.34</v>
      </c>
      <c r="G10" s="1"/>
      <c r="I10">
        <v>5801029</v>
      </c>
      <c r="J10" t="s">
        <v>561</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99C59E-DBFF-43C6-ABDB-02498AC249DB}">
  <sheetPr codeName="MIS_File"/>
  <dimension ref="A2:R19"/>
  <sheetViews>
    <sheetView showGridLines="0" zoomScaleNormal="100" workbookViewId="0">
      <selection activeCell="A16" sqref="A16"/>
    </sheetView>
  </sheetViews>
  <sheetFormatPr defaultColWidth="14.5703125" defaultRowHeight="15" x14ac:dyDescent="0.25"/>
  <cols>
    <col min="1" max="1" width="10.42578125" bestFit="1" customWidth="1"/>
    <col min="2" max="2" width="17.28515625" bestFit="1" customWidth="1"/>
    <col min="3" max="3" width="15.140625" bestFit="1" customWidth="1"/>
    <col min="4" max="4" width="1.7109375" customWidth="1"/>
    <col min="5" max="5" width="4.85546875" customWidth="1"/>
    <col min="6" max="6" width="5.7109375" customWidth="1"/>
    <col min="7" max="7" width="12" customWidth="1"/>
    <col min="8" max="8" width="14.28515625" style="3" bestFit="1" customWidth="1"/>
    <col min="9" max="9" width="10.42578125" style="3" bestFit="1" customWidth="1"/>
    <col min="10" max="10" width="10.42578125" bestFit="1" customWidth="1"/>
    <col min="11" max="11" width="16.140625" customWidth="1"/>
    <col min="12" max="12" width="16.7109375" customWidth="1"/>
    <col min="13" max="13" width="17.28515625" style="3" customWidth="1"/>
    <col min="14" max="14" width="17.85546875" customWidth="1"/>
    <col min="15" max="15" width="17.28515625" customWidth="1"/>
    <col min="16" max="16" width="17.85546875" customWidth="1"/>
    <col min="17" max="17" width="16.5703125" customWidth="1"/>
    <col min="18" max="18" width="17.140625" customWidth="1"/>
  </cols>
  <sheetData>
    <row r="2" spans="1:18" x14ac:dyDescent="0.25">
      <c r="B2" s="22">
        <f ca="1">TODAY()</f>
        <v>45307</v>
      </c>
      <c r="I2" s="3" t="s">
        <v>423</v>
      </c>
      <c r="J2" s="1">
        <v>45295</v>
      </c>
      <c r="K2" s="1"/>
      <c r="L2" s="19" t="s">
        <v>179</v>
      </c>
      <c r="M2" s="20" t="s">
        <v>417</v>
      </c>
      <c r="N2" s="20" t="s">
        <v>420</v>
      </c>
      <c r="O2" s="20" t="s">
        <v>419</v>
      </c>
      <c r="P2" s="20" t="s">
        <v>422</v>
      </c>
      <c r="Q2" s="20" t="s">
        <v>418</v>
      </c>
      <c r="R2" s="20" t="s">
        <v>421</v>
      </c>
    </row>
    <row r="3" spans="1:18" x14ac:dyDescent="0.25">
      <c r="A3" s="15" t="s">
        <v>413</v>
      </c>
      <c r="B3" s="15"/>
      <c r="C3" s="15"/>
      <c r="D3" s="15"/>
      <c r="I3" s="3" t="s">
        <v>424</v>
      </c>
      <c r="J3" s="16">
        <v>45300</v>
      </c>
      <c r="K3" s="16"/>
      <c r="L3" s="18">
        <v>45295</v>
      </c>
      <c r="M3" s="17">
        <v>82</v>
      </c>
      <c r="N3" s="17">
        <v>55</v>
      </c>
      <c r="O3" s="17">
        <v>43</v>
      </c>
      <c r="P3" s="17">
        <v>5</v>
      </c>
      <c r="Q3" s="17">
        <v>19</v>
      </c>
      <c r="R3" s="17">
        <v>2</v>
      </c>
    </row>
    <row r="4" spans="1:18" x14ac:dyDescent="0.25">
      <c r="A4" t="s">
        <v>408</v>
      </c>
      <c r="B4" t="s">
        <v>409</v>
      </c>
      <c r="C4" t="s">
        <v>407</v>
      </c>
      <c r="E4" t="s">
        <v>411</v>
      </c>
      <c r="F4" t="s">
        <v>412</v>
      </c>
      <c r="L4" s="18">
        <v>45298</v>
      </c>
      <c r="M4" s="21">
        <v>85</v>
      </c>
      <c r="N4" s="17">
        <v>56</v>
      </c>
      <c r="O4" s="17">
        <v>34</v>
      </c>
      <c r="P4" s="17">
        <v>6</v>
      </c>
      <c r="Q4" s="17">
        <v>19</v>
      </c>
      <c r="R4" s="17">
        <v>1</v>
      </c>
    </row>
    <row r="5" spans="1:18" x14ac:dyDescent="0.25">
      <c r="A5" t="s">
        <v>414</v>
      </c>
      <c r="B5" t="s">
        <v>410</v>
      </c>
      <c r="C5" cm="1">
        <f t="array" ref="C5">Count_RiyadhLessThan60[Count_RiyadhLessThan60]</f>
        <v>76</v>
      </c>
      <c r="E5">
        <v>2.5</v>
      </c>
      <c r="F5">
        <v>0</v>
      </c>
      <c r="G5">
        <f>MAX(MIS_Report[Count])</f>
        <v>88</v>
      </c>
      <c r="I5"/>
      <c r="J5" s="3"/>
      <c r="L5" s="18">
        <v>45299</v>
      </c>
      <c r="M5" s="17">
        <v>75</v>
      </c>
      <c r="N5" s="17">
        <v>57</v>
      </c>
      <c r="O5" s="17">
        <v>28</v>
      </c>
      <c r="P5" s="17">
        <v>10</v>
      </c>
      <c r="Q5" s="17">
        <v>23</v>
      </c>
      <c r="R5" s="17">
        <v>1</v>
      </c>
    </row>
    <row r="6" spans="1:18" x14ac:dyDescent="0.25">
      <c r="B6" t="s">
        <v>242</v>
      </c>
      <c r="C6" cm="1">
        <f t="array" ref="C6">Count_Riyadh_Escalation[Count_Riyadh_Escalation]+Count_Riyadh_Super_Escalation[Count_Riyadh_Super_Escalation]</f>
        <v>88</v>
      </c>
      <c r="E6">
        <v>4.5</v>
      </c>
      <c r="F6">
        <v>0</v>
      </c>
      <c r="I6"/>
      <c r="J6" s="3"/>
      <c r="L6" s="18">
        <v>45300</v>
      </c>
      <c r="M6" s="17">
        <v>78</v>
      </c>
      <c r="N6" s="17">
        <v>58</v>
      </c>
      <c r="O6" s="17">
        <v>28</v>
      </c>
      <c r="P6" s="17">
        <v>10</v>
      </c>
      <c r="Q6" s="17">
        <v>24</v>
      </c>
      <c r="R6" s="17">
        <v>1</v>
      </c>
    </row>
    <row r="7" spans="1:18" x14ac:dyDescent="0.25">
      <c r="A7" t="s">
        <v>415</v>
      </c>
      <c r="B7" t="s">
        <v>410</v>
      </c>
      <c r="C7" cm="1">
        <f t="array" ref="C7">Count_JeddahLessThan60[Count_JeddahLessThan60]</f>
        <v>20</v>
      </c>
      <c r="I7"/>
      <c r="L7" s="18">
        <v>45301</v>
      </c>
      <c r="M7" s="17">
        <v>86</v>
      </c>
      <c r="N7" s="17">
        <v>58</v>
      </c>
      <c r="O7" s="17">
        <v>23</v>
      </c>
      <c r="P7" s="17">
        <v>10</v>
      </c>
      <c r="Q7" s="17">
        <v>23</v>
      </c>
      <c r="R7" s="17">
        <v>1</v>
      </c>
    </row>
    <row r="8" spans="1:18" x14ac:dyDescent="0.25">
      <c r="B8" t="s">
        <v>242</v>
      </c>
      <c r="C8" cm="1">
        <f t="array" ref="C8">Count_Jeddah_Escalation[Count_Jeddah_Escalation]+Count_Jeddah_Super_Escalation[Count_Jeddah_Super_Escalation]</f>
        <v>13</v>
      </c>
      <c r="I8"/>
      <c r="L8" s="18">
        <v>45302</v>
      </c>
      <c r="M8" s="21">
        <v>86</v>
      </c>
      <c r="N8" s="17">
        <v>58</v>
      </c>
      <c r="O8" s="17">
        <v>23</v>
      </c>
      <c r="P8" s="17">
        <v>10</v>
      </c>
      <c r="Q8" s="17">
        <v>23</v>
      </c>
      <c r="R8" s="17">
        <v>1</v>
      </c>
    </row>
    <row r="9" spans="1:18" x14ac:dyDescent="0.25">
      <c r="A9" t="s">
        <v>416</v>
      </c>
      <c r="B9" t="s">
        <v>410</v>
      </c>
      <c r="C9" cm="1">
        <f t="array" ref="C9">Count_DammamLessThan60[Count_DammamLessThan60]</f>
        <v>20</v>
      </c>
      <c r="I9"/>
      <c r="M9"/>
    </row>
    <row r="10" spans="1:18" x14ac:dyDescent="0.25">
      <c r="B10" t="s">
        <v>242</v>
      </c>
      <c r="C10" cm="1">
        <f t="array" ref="C10">Count_Dammam_Escalation[Count_Dammam_Escalation]+Count_Dammam_Super_Escalation[Count_Dammam_Super_Escalation]</f>
        <v>2</v>
      </c>
      <c r="I10"/>
      <c r="M10"/>
    </row>
    <row r="11" spans="1:18" x14ac:dyDescent="0.25">
      <c r="I11"/>
      <c r="M11"/>
    </row>
    <row r="12" spans="1:18" x14ac:dyDescent="0.25">
      <c r="I12"/>
      <c r="M12"/>
    </row>
    <row r="13" spans="1:18" x14ac:dyDescent="0.25">
      <c r="I13"/>
      <c r="M13"/>
    </row>
    <row r="14" spans="1:18" x14ac:dyDescent="0.25">
      <c r="I14"/>
      <c r="M14"/>
    </row>
    <row r="15" spans="1:18" x14ac:dyDescent="0.25">
      <c r="I15"/>
      <c r="M15"/>
    </row>
    <row r="16" spans="1:18" x14ac:dyDescent="0.25">
      <c r="I16"/>
      <c r="J16" s="3"/>
      <c r="K16" s="3"/>
      <c r="M16"/>
    </row>
    <row r="17" spans="13:13" x14ac:dyDescent="0.25">
      <c r="M17"/>
    </row>
    <row r="18" spans="13:13" x14ac:dyDescent="0.25">
      <c r="M18"/>
    </row>
    <row r="19" spans="13:13" x14ac:dyDescent="0.25">
      <c r="M19"/>
    </row>
  </sheetData>
  <phoneticPr fontId="12" type="noConversion"/>
  <pageMargins left="0.7" right="0.7" top="0.75" bottom="0.75" header="0.3" footer="0.3"/>
  <drawing r:id="rId1"/>
  <tableParts count="2">
    <tablePart r:id="rId2"/>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57CB70-4264-4A42-B7E1-82CBF55383AD}">
  <sheetPr codeName="MIS_Report"/>
  <dimension ref="A1"/>
  <sheetViews>
    <sheetView showGridLines="0" tabSelected="1" zoomScale="85" zoomScaleNormal="85" workbookViewId="0">
      <selection activeCell="Y27" sqref="Y27"/>
    </sheetView>
  </sheetViews>
  <sheetFormatPr defaultRowHeight="15" x14ac:dyDescent="0.25"/>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BA623C1-B118-4F52-8309-A1938F59143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4</vt:i4>
      </vt:variant>
    </vt:vector>
  </HeadingPairs>
  <TitlesOfParts>
    <vt:vector size="25" baseType="lpstr">
      <vt:lpstr>Main</vt:lpstr>
      <vt:lpstr>RIY&lt;60DAYS</vt:lpstr>
      <vt:lpstr>Unique_List_Riyadh</vt:lpstr>
      <vt:lpstr>No_Email_Riyadh</vt:lpstr>
      <vt:lpstr>All_Data</vt:lpstr>
      <vt:lpstr>JED&lt;60DAYS</vt:lpstr>
      <vt:lpstr>Unique_List_Jeddah</vt:lpstr>
      <vt:lpstr>No_Email_Jeddah</vt:lpstr>
      <vt:lpstr>DAM&lt;60DAYS</vt:lpstr>
      <vt:lpstr>Unique_List_Dammam</vt:lpstr>
      <vt:lpstr>WorkingFile</vt:lpstr>
      <vt:lpstr>No_Email_Dammam</vt:lpstr>
      <vt:lpstr>ESCALATION_RIY</vt:lpstr>
      <vt:lpstr>ESCALATION_DAM</vt:lpstr>
      <vt:lpstr>ESCALATION_JED</vt:lpstr>
      <vt:lpstr>All_Super_Escalation</vt:lpstr>
      <vt:lpstr>SUPER_ESC_RIY</vt:lpstr>
      <vt:lpstr>SUPER_ESC_DAM</vt:lpstr>
      <vt:lpstr>SUPER_ESC_JED</vt:lpstr>
      <vt:lpstr>MIS File</vt:lpstr>
      <vt:lpstr>MIS Report</vt:lpstr>
      <vt:lpstr>email_60</vt:lpstr>
      <vt:lpstr>escalation_enail</vt:lpstr>
      <vt:lpstr>no_escalation_email</vt:lpstr>
      <vt:lpstr>requesting_email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farhan shaikh</dc:creator>
  <cp:lastModifiedBy>farhan shaikh</cp:lastModifiedBy>
  <dcterms:created xsi:type="dcterms:W3CDTF">2023-12-17T07:50:36Z</dcterms:created>
  <dcterms:modified xsi:type="dcterms:W3CDTF">2024-01-16T19:43:54Z</dcterms:modified>
</cp:coreProperties>
</file>